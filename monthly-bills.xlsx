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p 2026" sheetId="1" state="visible" r:id="rId1"/>
    <sheet name="Oct 2026" sheetId="2" state="visible" r:id="rId2"/>
    <sheet name="Nov 2026" sheetId="3" state="visible" r:id="rId3"/>
    <sheet name="Dec 2026" sheetId="4" state="visible" r:id="rId4"/>
    <sheet name="Jan 2027" sheetId="5" state="visible" r:id="rId5"/>
    <sheet name="Feb 2027" sheetId="6" state="visible" r:id="rId6"/>
    <sheet name="Mar 2027" sheetId="7" state="visible" r:id="rId7"/>
    <sheet name="Apr 2027" sheetId="8" state="visible" r:id="rId8"/>
    <sheet name="May 2027" sheetId="9" state="visible" r:id="rId9"/>
    <sheet name="Jun 2027" sheetId="10" state="visible" r:id="rId10"/>
    <sheet name="Jul 2027" sheetId="11" state="visible" r:id="rId11"/>
    <sheet name="Aug 2027" sheetId="12" state="visible" r:id="rId12"/>
  </sheets>
  <definedNames>
    <definedName name="_xlnm.Print_Titles" localSheetId="0">'Sep 2026'!$14:$14</definedName>
    <definedName name="_xlnm.Print_Titles" localSheetId="1">'Oct 2026'!$13:$13</definedName>
    <definedName name="_xlnm.Print_Titles" localSheetId="2">'Nov 2026'!$13:$13</definedName>
    <definedName name="_xlnm.Print_Titles" localSheetId="3">'Dec 2026'!$14:$14</definedName>
    <definedName name="_xlnm.Print_Titles" localSheetId="4">'Jan 2027'!$13:$13</definedName>
    <definedName name="_xlnm.Print_Titles" localSheetId="5">'Feb 2027'!$13:$13</definedName>
    <definedName name="_xlnm.Print_Titles" localSheetId="6">'Mar 2027'!$14:$14</definedName>
    <definedName name="_xlnm.Print_Titles" localSheetId="7">'Apr 2027'!$13:$13</definedName>
    <definedName name="_xlnm.Print_Titles" localSheetId="8">'May 2027'!$13:$13</definedName>
    <definedName name="_xlnm.Print_Titles" localSheetId="9">'Jun 2027'!$14:$14</definedName>
    <definedName name="_xlnm.Print_Titles" localSheetId="10">'Jul 2027'!$13:$13</definedName>
    <definedName name="_xlnm.Print_Titles" localSheetId="11">'Aug 2027'!$13:$13</definedName>
  </definedNames>
  <calcPr calcId="124519" fullCalcOnLoad="1"/>
</workbook>
</file>

<file path=xl/styles.xml><?xml version="1.0" encoding="utf-8"?>
<styleSheet xmlns="http://schemas.openxmlformats.org/spreadsheetml/2006/main">
  <numFmts count="3">
    <numFmt numFmtId="164" formatCode="yyyy-mm-dd"/>
    <numFmt numFmtId="165" formatCode="dd mmm yyyy"/>
    <numFmt numFmtId="166" formatCode="$#,##0.00;($#,##0.00);-"/>
  </numFmts>
  <fonts count="9">
    <font>
      <name val="Calibri"/>
      <family val="2"/>
      <color theme="1"/>
      <sz val="11"/>
      <scheme val="minor"/>
    </font>
    <font>
      <name val="Arial"/>
      <b val="1"/>
      <color rgb="00FFFFFF"/>
      <sz val="14"/>
    </font>
    <font>
      <name val="Arial"/>
      <i val="1"/>
      <color rgb="005A6570"/>
      <sz val="9"/>
    </font>
    <font>
      <name val="Arial"/>
      <b val="1"/>
      <color rgb="0017365D"/>
      <sz val="11"/>
    </font>
    <font>
      <name val="Arial"/>
      <b val="1"/>
      <sz val="10"/>
    </font>
    <font>
      <name val="Arial"/>
      <color rgb="000000FF"/>
      <sz val="10"/>
    </font>
    <font>
      <name val="Arial"/>
      <sz val="10"/>
    </font>
    <font>
      <name val="Arial"/>
      <b val="1"/>
      <color rgb="000000FF"/>
      <sz val="10"/>
    </font>
    <font>
      <name val="Arial"/>
      <color rgb="0042474C"/>
      <sz val="9"/>
    </font>
  </fonts>
  <fills count="7">
    <fill>
      <patternFill/>
    </fill>
    <fill>
      <patternFill patternType="gray125"/>
    </fill>
    <fill>
      <patternFill patternType="solid">
        <fgColor rgb="0017365D"/>
      </patternFill>
    </fill>
    <fill>
      <patternFill patternType="solid">
        <fgColor rgb="00DCE3EA"/>
      </patternFill>
    </fill>
    <fill>
      <patternFill patternType="solid">
        <fgColor rgb="00EDF1F5"/>
      </patternFill>
    </fill>
    <fill>
      <patternFill patternType="solid">
        <fgColor rgb="00FFF3CD"/>
      </patternFill>
    </fill>
    <fill>
      <patternFill patternType="solid">
        <fgColor rgb="00FBE4E4"/>
      </patternFill>
    </fill>
  </fills>
  <borders count="2">
    <border>
      <left/>
      <right/>
      <top/>
      <bottom/>
      <diagonal/>
    </border>
    <border>
      <left style="thin">
        <color rgb="00BFC7CF"/>
      </left>
      <right style="thin">
        <color rgb="00BFC7CF"/>
      </right>
      <top style="thin">
        <color rgb="00BFC7CF"/>
      </top>
      <bottom style="thin">
        <color rgb="00BFC7CF"/>
      </bottom>
    </border>
  </borders>
  <cellStyleXfs count="1">
    <xf numFmtId="0" fontId="0" fillId="0" borderId="0"/>
  </cellStyleXfs>
  <cellXfs count="18">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0" borderId="0" pivotButton="0" quotePrefix="0" xfId="0"/>
    <xf numFmtId="0" fontId="4" fillId="3" borderId="1" pivotButton="0" quotePrefix="0" xfId="0"/>
    <xf numFmtId="165" fontId="6" fillId="0" borderId="1" pivotButton="0" quotePrefix="0" xfId="0"/>
    <xf numFmtId="0" fontId="6" fillId="0" borderId="1" pivotButton="0" quotePrefix="0" xfId="0"/>
    <xf numFmtId="166" fontId="5" fillId="0" borderId="1" pivotButton="0" quotePrefix="0" xfId="0"/>
    <xf numFmtId="0" fontId="0" fillId="4" borderId="1" pivotButton="0" quotePrefix="0" xfId="0"/>
    <xf numFmtId="0" fontId="4" fillId="4" borderId="1" pivotButton="0" quotePrefix="0" xfId="0"/>
    <xf numFmtId="166" fontId="4" fillId="4" borderId="1" pivotButton="0" quotePrefix="0" xfId="0"/>
    <xf numFmtId="166" fontId="7" fillId="0" borderId="1" pivotButton="0" quotePrefix="0" xfId="0"/>
    <xf numFmtId="0" fontId="4" fillId="0" borderId="1" pivotButton="0" quotePrefix="0" xfId="0"/>
    <xf numFmtId="0" fontId="6" fillId="5" borderId="1" pivotButton="0" quotePrefix="0" xfId="0"/>
    <xf numFmtId="0" fontId="6" fillId="6" borderId="1" pivotButton="0" quotePrefix="0" xfId="0"/>
    <xf numFmtId="0" fontId="0" fillId="0" borderId="1" pivotButton="0" quotePrefix="0" xfId="0"/>
    <xf numFmtId="166" fontId="6" fillId="0" borderId="1" pivotButton="0" quotePrefix="0" xfId="0"/>
    <xf numFmtId="0" fontId="8" fillId="0" borderId="0" applyAlignment="1" pivotButton="0" quotePrefix="0" xfId="0">
      <alignmen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71"/>
  <sheetViews>
    <sheetView showGridLines="0" workbookViewId="0">
      <pane ySplit="14" topLeftCell="A15"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September 2026</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46267</v>
      </c>
      <c r="B6" s="6" t="inlineStr">
        <is>
          <t>Wed</t>
        </is>
      </c>
      <c r="C6" s="6" t="inlineStr">
        <is>
          <t>Insight Global payroll</t>
        </is>
      </c>
      <c r="D6" s="6" t="inlineStr">
        <is>
          <t>weekly</t>
        </is>
      </c>
      <c r="E6" s="7" t="n">
        <v>2016.06</v>
      </c>
      <c r="F6" s="6" t="inlineStr">
        <is>
          <t>UNVERIFIED - flagged needs_review</t>
        </is>
      </c>
    </row>
    <row r="7">
      <c r="A7" s="5" t="n">
        <v>46274</v>
      </c>
      <c r="B7" s="6" t="inlineStr">
        <is>
          <t>Wed</t>
        </is>
      </c>
      <c r="C7" s="6" t="inlineStr">
        <is>
          <t>Insight Global payroll</t>
        </is>
      </c>
      <c r="D7" s="6" t="inlineStr">
        <is>
          <t>weekly</t>
        </is>
      </c>
      <c r="E7" s="7" t="n">
        <v>2016.06</v>
      </c>
      <c r="F7" s="6" t="inlineStr">
        <is>
          <t>UNVERIFIED - flagged needs_review</t>
        </is>
      </c>
    </row>
    <row r="8">
      <c r="A8" s="5" t="n">
        <v>46281</v>
      </c>
      <c r="B8" s="6" t="inlineStr">
        <is>
          <t>Wed</t>
        </is>
      </c>
      <c r="C8" s="6" t="inlineStr">
        <is>
          <t>Insight Global payroll</t>
        </is>
      </c>
      <c r="D8" s="6" t="inlineStr">
        <is>
          <t>weekly</t>
        </is>
      </c>
      <c r="E8" s="7" t="n">
        <v>2016.06</v>
      </c>
      <c r="F8" s="6" t="inlineStr">
        <is>
          <t>UNVERIFIED - flagged needs_review</t>
        </is>
      </c>
    </row>
    <row r="9">
      <c r="A9" s="5" t="n">
        <v>46288</v>
      </c>
      <c r="B9" s="6" t="inlineStr">
        <is>
          <t>Wed</t>
        </is>
      </c>
      <c r="C9" s="6" t="inlineStr">
        <is>
          <t>Insight Global payroll</t>
        </is>
      </c>
      <c r="D9" s="6" t="inlineStr">
        <is>
          <t>weekly</t>
        </is>
      </c>
      <c r="E9" s="7" t="n">
        <v>2016.06</v>
      </c>
      <c r="F9" s="6" t="inlineStr">
        <is>
          <t>UNVERIFIED - flagged needs_review</t>
        </is>
      </c>
    </row>
    <row r="10">
      <c r="A10" s="5" t="n">
        <v>46295</v>
      </c>
      <c r="B10" s="6" t="inlineStr">
        <is>
          <t>Wed</t>
        </is>
      </c>
      <c r="C10" s="6" t="inlineStr">
        <is>
          <t>Insight Global payroll</t>
        </is>
      </c>
      <c r="D10" s="6" t="inlineStr">
        <is>
          <t>weekly</t>
        </is>
      </c>
      <c r="E10" s="7" t="n">
        <v>2016.06</v>
      </c>
      <c r="F10" s="6" t="inlineStr">
        <is>
          <t>UNVERIFIED - flagged needs_review</t>
        </is>
      </c>
    </row>
    <row r="11">
      <c r="A11" s="8" t="n"/>
      <c r="B11" s="8" t="n"/>
      <c r="C11" s="9" t="inlineStr">
        <is>
          <t>Total money in</t>
        </is>
      </c>
      <c r="D11" s="8" t="n"/>
      <c r="E11" s="10">
        <f>SUM(E6:E10)</f>
        <v/>
      </c>
      <c r="F11" s="8" t="n"/>
    </row>
    <row r="13">
      <c r="A13" s="3" t="inlineStr">
        <is>
          <t>MONEY OUT</t>
        </is>
      </c>
    </row>
    <row r="14">
      <c r="A14" s="4" t="inlineStr">
        <is>
          <t>Due date</t>
        </is>
      </c>
      <c r="B14" s="4" t="inlineStr">
        <is>
          <t>Day</t>
        </is>
      </c>
      <c r="C14" s="4" t="inlineStr">
        <is>
          <t>Bill / payee</t>
        </is>
      </c>
      <c r="D14" s="4" t="inlineStr">
        <is>
          <t>Category</t>
        </is>
      </c>
      <c r="E14" s="4" t="inlineStr">
        <is>
          <t>Frequency</t>
        </is>
      </c>
      <c r="F14" s="4" t="inlineStr">
        <is>
          <t>Budget</t>
        </is>
      </c>
      <c r="G14" s="4" t="inlineStr">
        <is>
          <t>Stored</t>
        </is>
      </c>
      <c r="H14" s="4" t="inlineStr">
        <is>
          <t>Basis</t>
        </is>
      </c>
      <c r="I14" s="4" t="inlineStr">
        <is>
          <t>Movability</t>
        </is>
      </c>
      <c r="J14" s="4" t="inlineStr">
        <is>
          <t>Autopay</t>
        </is>
      </c>
      <c r="K14" s="4" t="inlineStr">
        <is>
          <t>Historical range seen</t>
        </is>
      </c>
    </row>
    <row r="15">
      <c r="A15" s="5" t="n">
        <v>46266</v>
      </c>
      <c r="B15" s="6" t="inlineStr">
        <is>
          <t>Tue</t>
        </is>
      </c>
      <c r="C15" s="6" t="inlineStr">
        <is>
          <t>Sewer</t>
        </is>
      </c>
      <c r="D15" s="6" t="inlineStr">
        <is>
          <t>2 Essential</t>
        </is>
      </c>
      <c r="E15" s="6" t="inlineStr">
        <is>
          <t>annual</t>
        </is>
      </c>
      <c r="F15" s="11" t="n">
        <v>304.5</v>
      </c>
      <c r="G15" s="7" t="n">
        <v>304.5</v>
      </c>
      <c r="H15" s="6" t="inlineStr">
        <is>
          <t>Stated amount</t>
        </is>
      </c>
      <c r="I15" s="12" t="inlineStr">
        <is>
          <t>FIXED</t>
        </is>
      </c>
      <c r="J15" s="6" t="inlineStr">
        <is>
          <t>no</t>
        </is>
      </c>
      <c r="K15" s="6" t="inlineStr"/>
    </row>
    <row r="16">
      <c r="A16" s="5" t="n">
        <v>46268</v>
      </c>
      <c r="B16" s="6" t="inlineStr">
        <is>
          <t>Thu</t>
        </is>
      </c>
      <c r="C16" s="6" t="inlineStr">
        <is>
          <t>JCP&amp;L / FirstEnergy</t>
        </is>
      </c>
      <c r="D16" s="6" t="inlineStr">
        <is>
          <t>2 Essential</t>
        </is>
      </c>
      <c r="E16" s="6" t="inlineStr">
        <is>
          <t>monthly</t>
        </is>
      </c>
      <c r="F16" s="11" t="n">
        <v>374.22</v>
      </c>
      <c r="G16" s="7" t="n">
        <v>418.98</v>
      </c>
      <c r="H16" s="6" t="inlineStr">
        <is>
          <t>Seasonal profile</t>
        </is>
      </c>
      <c r="I16" s="12" t="inlineStr">
        <is>
          <t>FIXED</t>
        </is>
      </c>
      <c r="J16" s="6" t="inlineStr">
        <is>
          <t>no</t>
        </is>
      </c>
      <c r="K16" s="6" t="inlineStr">
        <is>
          <t>130.28 - 489.87</t>
        </is>
      </c>
    </row>
    <row r="17">
      <c r="A17" s="5" t="n">
        <v>46269</v>
      </c>
      <c r="B17" s="6" t="inlineStr">
        <is>
          <t>Fri</t>
        </is>
      </c>
      <c r="C17" s="6" t="inlineStr">
        <is>
          <t>Culligan</t>
        </is>
      </c>
      <c r="D17" s="6" t="inlineStr">
        <is>
          <t>5 Discretionary</t>
        </is>
      </c>
      <c r="E17" s="6" t="inlineStr">
        <is>
          <t>monthly</t>
        </is>
      </c>
      <c r="F17" s="11" t="n">
        <v>307.7</v>
      </c>
      <c r="G17" s="7" t="n">
        <v>40.39</v>
      </c>
      <c r="H17" s="13" t="inlineStr">
        <is>
          <t>Forecast at worst seen</t>
        </is>
      </c>
      <c r="I17" s="6" t="inlineStr">
        <is>
          <t>UNKNOWN</t>
        </is>
      </c>
      <c r="J17" s="6" t="inlineStr">
        <is>
          <t>no</t>
        </is>
      </c>
      <c r="K17" s="6" t="inlineStr">
        <is>
          <t>40.39 - 307.70</t>
        </is>
      </c>
    </row>
    <row r="18">
      <c r="A18" s="5" t="n">
        <v>46269</v>
      </c>
      <c r="B18" s="6" t="inlineStr">
        <is>
          <t>Fri</t>
        </is>
      </c>
      <c r="C18" s="6" t="inlineStr">
        <is>
          <t>TJX Rewards</t>
        </is>
      </c>
      <c r="D18" s="6" t="inlineStr">
        <is>
          <t>5 Discretionary</t>
        </is>
      </c>
      <c r="E18" s="6" t="inlineStr">
        <is>
          <t>monthly</t>
        </is>
      </c>
      <c r="F18" s="11" t="n">
        <v>36</v>
      </c>
      <c r="G18" s="7" t="n">
        <v>36</v>
      </c>
      <c r="H18" s="6" t="inlineStr">
        <is>
          <t>Stated amount</t>
        </is>
      </c>
      <c r="I18" s="6" t="inlineStr">
        <is>
          <t>UNKNOWN</t>
        </is>
      </c>
      <c r="J18" s="6" t="inlineStr">
        <is>
          <t>yes</t>
        </is>
      </c>
      <c r="K18" s="6" t="inlineStr"/>
    </row>
    <row r="19">
      <c r="A19" s="5" t="n">
        <v>46271</v>
      </c>
      <c r="B19" s="6" t="inlineStr">
        <is>
          <t>Sun</t>
        </is>
      </c>
      <c r="C19" s="6" t="inlineStr">
        <is>
          <t>One Main loan</t>
        </is>
      </c>
      <c r="D19" s="6" t="inlineStr">
        <is>
          <t>3 Required debt</t>
        </is>
      </c>
      <c r="E19" s="6" t="inlineStr">
        <is>
          <t>monthly</t>
        </is>
      </c>
      <c r="F19" s="11" t="n">
        <v>388.24</v>
      </c>
      <c r="G19" s="7" t="n">
        <v>388.24</v>
      </c>
      <c r="H19" s="6" t="inlineStr">
        <is>
          <t>Stated amount</t>
        </is>
      </c>
      <c r="I19" s="12" t="inlineStr">
        <is>
          <t>FIXED</t>
        </is>
      </c>
      <c r="J19" s="6" t="inlineStr">
        <is>
          <t>yes</t>
        </is>
      </c>
      <c r="K19" s="6" t="inlineStr"/>
    </row>
    <row r="20">
      <c r="A20" s="5" t="n">
        <v>46271</v>
      </c>
      <c r="B20" s="6" t="inlineStr">
        <is>
          <t>Sun</t>
        </is>
      </c>
      <c r="C20" s="6" t="inlineStr">
        <is>
          <t>Groceries</t>
        </is>
      </c>
      <c r="D20" s="6" t="inlineStr">
        <is>
          <t>2 Essential</t>
        </is>
      </c>
      <c r="E20" s="6" t="inlineStr">
        <is>
          <t>weekly</t>
        </is>
      </c>
      <c r="F20" s="11" t="n">
        <v>319.09</v>
      </c>
      <c r="G20" s="7" t="n">
        <v>319.09</v>
      </c>
      <c r="H20" s="6" t="inlineStr">
        <is>
          <t>Stated amount</t>
        </is>
      </c>
      <c r="I20" s="12" t="inlineStr">
        <is>
          <t>FIXED</t>
        </is>
      </c>
      <c r="J20" s="6" t="inlineStr">
        <is>
          <t>no</t>
        </is>
      </c>
      <c r="K20" s="6" t="inlineStr">
        <is>
          <t>12.78 - 791.32</t>
        </is>
      </c>
    </row>
    <row r="21">
      <c r="A21" s="5" t="n">
        <v>46271</v>
      </c>
      <c r="B21" s="6" t="inlineStr">
        <is>
          <t>Sun</t>
        </is>
      </c>
      <c r="C21" s="6" t="inlineStr">
        <is>
          <t>Fuel</t>
        </is>
      </c>
      <c r="D21" s="6" t="inlineStr">
        <is>
          <t>2 Essential</t>
        </is>
      </c>
      <c r="E21" s="6" t="inlineStr">
        <is>
          <t>weekly</t>
        </is>
      </c>
      <c r="F21" s="11" t="n">
        <v>90.77</v>
      </c>
      <c r="G21" s="7" t="n">
        <v>90.77</v>
      </c>
      <c r="H21" s="6" t="inlineStr">
        <is>
          <t>Stated amount</t>
        </is>
      </c>
      <c r="I21" s="12" t="inlineStr">
        <is>
          <t>FIXED</t>
        </is>
      </c>
      <c r="J21" s="6" t="inlineStr">
        <is>
          <t>no</t>
        </is>
      </c>
      <c r="K21" s="6" t="inlineStr">
        <is>
          <t>20.00 - 447.12</t>
        </is>
      </c>
    </row>
    <row r="22">
      <c r="A22" s="5" t="n">
        <v>46272</v>
      </c>
      <c r="B22" s="6" t="inlineStr">
        <is>
          <t>Mon</t>
        </is>
      </c>
      <c r="C22" s="6" t="inlineStr">
        <is>
          <t>Mortgage</t>
        </is>
      </c>
      <c r="D22" s="6" t="inlineStr">
        <is>
          <t>1 Secured/critical</t>
        </is>
      </c>
      <c r="E22" s="6" t="inlineStr">
        <is>
          <t>biweekly</t>
        </is>
      </c>
      <c r="F22" s="11" t="n">
        <v>1801.62</v>
      </c>
      <c r="G22" s="7" t="n">
        <v>1801.62</v>
      </c>
      <c r="H22" s="6" t="inlineStr">
        <is>
          <t>Stated amount</t>
        </is>
      </c>
      <c r="I22" s="12" t="inlineStr">
        <is>
          <t>FIXED</t>
        </is>
      </c>
      <c r="J22" s="6" t="inlineStr">
        <is>
          <t>no</t>
        </is>
      </c>
      <c r="K22" s="6" t="inlineStr"/>
    </row>
    <row r="23">
      <c r="A23" s="5" t="n">
        <v>46273</v>
      </c>
      <c r="B23" s="6" t="inlineStr">
        <is>
          <t>Tue</t>
        </is>
      </c>
      <c r="C23" s="6" t="inlineStr">
        <is>
          <t>PNC</t>
        </is>
      </c>
      <c r="D23" s="6" t="inlineStr">
        <is>
          <t>3 Required debt</t>
        </is>
      </c>
      <c r="E23" s="6" t="inlineStr">
        <is>
          <t>monthly</t>
        </is>
      </c>
      <c r="F23" s="11" t="n">
        <v>150</v>
      </c>
      <c r="G23" s="7" t="n">
        <v>70</v>
      </c>
      <c r="H23" s="13" t="inlineStr">
        <is>
          <t>Forecast at worst seen</t>
        </is>
      </c>
      <c r="I23" s="6" t="inlineStr">
        <is>
          <t>UNKNOWN</t>
        </is>
      </c>
      <c r="J23" s="6" t="inlineStr">
        <is>
          <t>no</t>
        </is>
      </c>
      <c r="K23" s="6" t="inlineStr">
        <is>
          <t>70.00 - 150.00</t>
        </is>
      </c>
    </row>
    <row r="24">
      <c r="A24" s="5" t="n">
        <v>46276</v>
      </c>
      <c r="B24" s="6" t="inlineStr">
        <is>
          <t>Fri</t>
        </is>
      </c>
      <c r="C24" s="6" t="inlineStr">
        <is>
          <t>Elizabethtown Gas</t>
        </is>
      </c>
      <c r="D24" s="6" t="inlineStr">
        <is>
          <t>2 Essential</t>
        </is>
      </c>
      <c r="E24" s="6" t="inlineStr">
        <is>
          <t>monthly</t>
        </is>
      </c>
      <c r="F24" s="11" t="n">
        <v>60.01</v>
      </c>
      <c r="G24" s="7" t="n">
        <v>54.03</v>
      </c>
      <c r="H24" s="6" t="inlineStr">
        <is>
          <t>Seasonal profile</t>
        </is>
      </c>
      <c r="I24" s="12" t="inlineStr">
        <is>
          <t>FIXED</t>
        </is>
      </c>
      <c r="J24" s="6" t="inlineStr">
        <is>
          <t>no</t>
        </is>
      </c>
      <c r="K24" s="6" t="inlineStr">
        <is>
          <t>54.03 - 550.83</t>
        </is>
      </c>
    </row>
    <row r="25">
      <c r="A25" s="5" t="n">
        <v>46276</v>
      </c>
      <c r="B25" s="6" t="inlineStr">
        <is>
          <t>Fri</t>
        </is>
      </c>
      <c r="C25" s="6" t="inlineStr">
        <is>
          <t>T-Mobile Lia</t>
        </is>
      </c>
      <c r="D25" s="6" t="inlineStr">
        <is>
          <t>2 Essential</t>
        </is>
      </c>
      <c r="E25" s="6" t="inlineStr">
        <is>
          <t>monthly</t>
        </is>
      </c>
      <c r="F25" s="11" t="n">
        <v>20.75</v>
      </c>
      <c r="G25" s="7" t="n">
        <v>20.75</v>
      </c>
      <c r="H25" s="6" t="inlineStr">
        <is>
          <t>Stated amount</t>
        </is>
      </c>
      <c r="I25" s="6" t="inlineStr">
        <is>
          <t>UNKNOWN</t>
        </is>
      </c>
      <c r="J25" s="6" t="inlineStr">
        <is>
          <t>yes</t>
        </is>
      </c>
      <c r="K25" s="6" t="inlineStr"/>
    </row>
    <row r="26">
      <c r="A26" s="5" t="n">
        <v>46277</v>
      </c>
      <c r="B26" s="6" t="inlineStr">
        <is>
          <t>Sat</t>
        </is>
      </c>
      <c r="C26" s="6" t="inlineStr">
        <is>
          <t>Hanover Auto</t>
        </is>
      </c>
      <c r="D26" s="6" t="inlineStr">
        <is>
          <t>2 Essential</t>
        </is>
      </c>
      <c r="E26" s="6" t="inlineStr">
        <is>
          <t>monthly</t>
        </is>
      </c>
      <c r="F26" s="11" t="n">
        <v>513.27</v>
      </c>
      <c r="G26" s="7" t="n">
        <v>513.27</v>
      </c>
      <c r="H26" s="6" t="inlineStr">
        <is>
          <t>Stated amount</t>
        </is>
      </c>
      <c r="I26" s="12" t="inlineStr">
        <is>
          <t>FIXED</t>
        </is>
      </c>
      <c r="J26" s="6" t="inlineStr">
        <is>
          <t>no</t>
        </is>
      </c>
      <c r="K26" s="6" t="inlineStr"/>
    </row>
    <row r="27">
      <c r="A27" s="5" t="n">
        <v>46277</v>
      </c>
      <c r="B27" s="6" t="inlineStr">
        <is>
          <t>Sat</t>
        </is>
      </c>
      <c r="C27" s="6" t="inlineStr">
        <is>
          <t>Comenity</t>
        </is>
      </c>
      <c r="D27" s="6" t="inlineStr">
        <is>
          <t>3 Required debt</t>
        </is>
      </c>
      <c r="E27" s="6" t="inlineStr">
        <is>
          <t>monthly</t>
        </is>
      </c>
      <c r="F27" s="11" t="n">
        <v>65</v>
      </c>
      <c r="G27" s="7" t="n">
        <v>50</v>
      </c>
      <c r="H27" s="13" t="inlineStr">
        <is>
          <t>Forecast at worst seen</t>
        </is>
      </c>
      <c r="I27" s="6" t="inlineStr">
        <is>
          <t>UNKNOWN</t>
        </is>
      </c>
      <c r="J27" s="6" t="inlineStr">
        <is>
          <t>no</t>
        </is>
      </c>
      <c r="K27" s="6" t="inlineStr">
        <is>
          <t>40.00 - 65.00</t>
        </is>
      </c>
    </row>
    <row r="28">
      <c r="A28" s="5" t="n">
        <v>46278</v>
      </c>
      <c r="B28" s="6" t="inlineStr">
        <is>
          <t>Sun</t>
        </is>
      </c>
      <c r="C28" s="6" t="inlineStr">
        <is>
          <t>Groceries</t>
        </is>
      </c>
      <c r="D28" s="6" t="inlineStr">
        <is>
          <t>2 Essential</t>
        </is>
      </c>
      <c r="E28" s="6" t="inlineStr">
        <is>
          <t>weekly</t>
        </is>
      </c>
      <c r="F28" s="11" t="n">
        <v>319.09</v>
      </c>
      <c r="G28" s="7" t="n">
        <v>319.09</v>
      </c>
      <c r="H28" s="6" t="inlineStr">
        <is>
          <t>Stated amount</t>
        </is>
      </c>
      <c r="I28" s="12" t="inlineStr">
        <is>
          <t>FIXED</t>
        </is>
      </c>
      <c r="J28" s="6" t="inlineStr">
        <is>
          <t>no</t>
        </is>
      </c>
      <c r="K28" s="6" t="inlineStr">
        <is>
          <t>12.78 - 791.32</t>
        </is>
      </c>
    </row>
    <row r="29">
      <c r="A29" s="5" t="n">
        <v>46278</v>
      </c>
      <c r="B29" s="6" t="inlineStr">
        <is>
          <t>Sun</t>
        </is>
      </c>
      <c r="C29" s="6" t="inlineStr">
        <is>
          <t>Fuel</t>
        </is>
      </c>
      <c r="D29" s="6" t="inlineStr">
        <is>
          <t>2 Essential</t>
        </is>
      </c>
      <c r="E29" s="6" t="inlineStr">
        <is>
          <t>weekly</t>
        </is>
      </c>
      <c r="F29" s="11" t="n">
        <v>90.77</v>
      </c>
      <c r="G29" s="7" t="n">
        <v>90.77</v>
      </c>
      <c r="H29" s="6" t="inlineStr">
        <is>
          <t>Stated amount</t>
        </is>
      </c>
      <c r="I29" s="12" t="inlineStr">
        <is>
          <t>FIXED</t>
        </is>
      </c>
      <c r="J29" s="6" t="inlineStr">
        <is>
          <t>no</t>
        </is>
      </c>
      <c r="K29" s="6" t="inlineStr">
        <is>
          <t>20.00 - 447.12</t>
        </is>
      </c>
    </row>
    <row r="30">
      <c r="A30" s="5" t="n">
        <v>46279</v>
      </c>
      <c r="B30" s="6" t="inlineStr">
        <is>
          <t>Mon</t>
        </is>
      </c>
      <c r="C30" s="6" t="inlineStr">
        <is>
          <t>Home Depot</t>
        </is>
      </c>
      <c r="D30" s="6" t="inlineStr">
        <is>
          <t>5 Discretionary</t>
        </is>
      </c>
      <c r="E30" s="6" t="inlineStr">
        <is>
          <t>monthly</t>
        </is>
      </c>
      <c r="F30" s="11" t="n">
        <v>100</v>
      </c>
      <c r="G30" s="7" t="n">
        <v>100</v>
      </c>
      <c r="H30" s="6" t="inlineStr">
        <is>
          <t>Stated amount</t>
        </is>
      </c>
      <c r="I30" s="6" t="inlineStr">
        <is>
          <t>UNKNOWN</t>
        </is>
      </c>
      <c r="J30" s="6" t="inlineStr">
        <is>
          <t>yes</t>
        </is>
      </c>
      <c r="K30" s="6" t="inlineStr">
        <is>
          <t>32.70 - 100.00</t>
        </is>
      </c>
    </row>
    <row r="31">
      <c r="A31" s="5" t="n">
        <v>46280</v>
      </c>
      <c r="B31" s="6" t="inlineStr">
        <is>
          <t>Tue</t>
        </is>
      </c>
      <c r="C31" s="6" t="inlineStr">
        <is>
          <t>Loew &amp; Patel braces</t>
        </is>
      </c>
      <c r="D31" s="6" t="inlineStr">
        <is>
          <t>4 Scheduled</t>
        </is>
      </c>
      <c r="E31" s="6" t="inlineStr">
        <is>
          <t>monthly</t>
        </is>
      </c>
      <c r="F31" s="11" t="n">
        <v>400</v>
      </c>
      <c r="G31" s="7" t="n">
        <v>400</v>
      </c>
      <c r="H31" s="6" t="inlineStr">
        <is>
          <t>Stated amount</t>
        </is>
      </c>
      <c r="I31" s="6" t="inlineStr">
        <is>
          <t>UNKNOWN</t>
        </is>
      </c>
      <c r="J31" s="6" t="inlineStr">
        <is>
          <t>no</t>
        </is>
      </c>
      <c r="K31" s="6" t="inlineStr">
        <is>
          <t>15.00 - 0.00</t>
        </is>
      </c>
    </row>
    <row r="32">
      <c r="A32" s="5" t="n">
        <v>46280</v>
      </c>
      <c r="B32" s="6" t="inlineStr">
        <is>
          <t>Tue</t>
        </is>
      </c>
      <c r="C32" s="6" t="inlineStr">
        <is>
          <t>Upstart debt consol</t>
        </is>
      </c>
      <c r="D32" s="6" t="inlineStr">
        <is>
          <t>3 Required debt</t>
        </is>
      </c>
      <c r="E32" s="6" t="inlineStr">
        <is>
          <t>monthly</t>
        </is>
      </c>
      <c r="F32" s="11" t="n">
        <v>161</v>
      </c>
      <c r="G32" s="7" t="n">
        <v>161</v>
      </c>
      <c r="H32" s="6" t="inlineStr">
        <is>
          <t>Stated amount</t>
        </is>
      </c>
      <c r="I32" s="12" t="inlineStr">
        <is>
          <t>FIXED</t>
        </is>
      </c>
      <c r="J32" s="6" t="inlineStr">
        <is>
          <t>yes</t>
        </is>
      </c>
      <c r="K32" s="6" t="inlineStr"/>
    </row>
    <row r="33">
      <c r="A33" s="5" t="n">
        <v>46282</v>
      </c>
      <c r="B33" s="6" t="inlineStr">
        <is>
          <t>Thu</t>
        </is>
      </c>
      <c r="C33" s="6" t="inlineStr">
        <is>
          <t>Capital One CC</t>
        </is>
      </c>
      <c r="D33" s="6" t="inlineStr">
        <is>
          <t>3 Required debt</t>
        </is>
      </c>
      <c r="E33" s="6" t="inlineStr">
        <is>
          <t>monthly</t>
        </is>
      </c>
      <c r="F33" s="11" t="n">
        <v>163</v>
      </c>
      <c r="G33" s="7" t="n">
        <v>105</v>
      </c>
      <c r="H33" s="14" t="inlineStr">
        <is>
          <t>SUPERSEDED - see notes</t>
        </is>
      </c>
      <c r="I33" s="6" t="inlineStr">
        <is>
          <t>UNKNOWN</t>
        </is>
      </c>
      <c r="J33" s="6" t="inlineStr">
        <is>
          <t>yes</t>
        </is>
      </c>
      <c r="K33" s="6" t="inlineStr">
        <is>
          <t>154.00 - 163.00</t>
        </is>
      </c>
    </row>
    <row r="34">
      <c r="A34" s="5" t="n">
        <v>46282</v>
      </c>
      <c r="B34" s="6" t="inlineStr">
        <is>
          <t>Thu</t>
        </is>
      </c>
      <c r="C34" s="6" t="inlineStr">
        <is>
          <t>Chase CC Amazon</t>
        </is>
      </c>
      <c r="D34" s="6" t="inlineStr">
        <is>
          <t>3 Required debt</t>
        </is>
      </c>
      <c r="E34" s="6" t="inlineStr">
        <is>
          <t>monthly</t>
        </is>
      </c>
      <c r="F34" s="11" t="n">
        <v>136</v>
      </c>
      <c r="G34" s="7" t="n">
        <v>80</v>
      </c>
      <c r="H34" s="14" t="inlineStr">
        <is>
          <t>SUPERSEDED - see notes</t>
        </is>
      </c>
      <c r="I34" s="6" t="inlineStr">
        <is>
          <t>UNKNOWN</t>
        </is>
      </c>
      <c r="J34" s="6" t="inlineStr">
        <is>
          <t>yes</t>
        </is>
      </c>
      <c r="K34" s="6" t="inlineStr">
        <is>
          <t>124.00 - 136.00</t>
        </is>
      </c>
    </row>
    <row r="35">
      <c r="A35" s="5" t="n">
        <v>46283</v>
      </c>
      <c r="B35" s="6" t="inlineStr">
        <is>
          <t>Fri</t>
        </is>
      </c>
      <c r="C35" s="6" t="inlineStr">
        <is>
          <t>CCU car loan</t>
        </is>
      </c>
      <c r="D35" s="6" t="inlineStr">
        <is>
          <t>1 Secured/critical</t>
        </is>
      </c>
      <c r="E35" s="6" t="inlineStr">
        <is>
          <t>monthly</t>
        </is>
      </c>
      <c r="F35" s="11" t="n">
        <v>306.9</v>
      </c>
      <c r="G35" s="7" t="n">
        <v>306.9</v>
      </c>
      <c r="H35" s="6" t="inlineStr">
        <is>
          <t>Stated amount</t>
        </is>
      </c>
      <c r="I35" s="12" t="inlineStr">
        <is>
          <t>FIXED</t>
        </is>
      </c>
      <c r="J35" s="6" t="inlineStr">
        <is>
          <t>yes</t>
        </is>
      </c>
      <c r="K35" s="6" t="inlineStr"/>
    </row>
    <row r="36">
      <c r="A36" s="5" t="n">
        <v>46283</v>
      </c>
      <c r="B36" s="6" t="inlineStr">
        <is>
          <t>Fri</t>
        </is>
      </c>
      <c r="C36" s="6" t="inlineStr">
        <is>
          <t>Comcast</t>
        </is>
      </c>
      <c r="D36" s="6" t="inlineStr">
        <is>
          <t>2 Essential</t>
        </is>
      </c>
      <c r="E36" s="6" t="inlineStr">
        <is>
          <t>monthly</t>
        </is>
      </c>
      <c r="F36" s="11" t="n">
        <v>138.93</v>
      </c>
      <c r="G36" s="7" t="n">
        <v>138.93</v>
      </c>
      <c r="H36" s="6" t="inlineStr">
        <is>
          <t>Stated amount</t>
        </is>
      </c>
      <c r="I36" s="6" t="inlineStr">
        <is>
          <t>UNKNOWN</t>
        </is>
      </c>
      <c r="J36" s="6" t="inlineStr">
        <is>
          <t>yes</t>
        </is>
      </c>
      <c r="K36" s="6" t="inlineStr"/>
    </row>
    <row r="37">
      <c r="A37" s="5" t="n">
        <v>46283</v>
      </c>
      <c r="B37" s="6" t="inlineStr">
        <is>
          <t>Fri</t>
        </is>
      </c>
      <c r="C37" s="6" t="inlineStr">
        <is>
          <t>Lowes</t>
        </is>
      </c>
      <c r="D37" s="6" t="inlineStr">
        <is>
          <t>5 Discretionary</t>
        </is>
      </c>
      <c r="E37" s="6" t="inlineStr">
        <is>
          <t>monthly</t>
        </is>
      </c>
      <c r="F37" s="11" t="n">
        <v>126</v>
      </c>
      <c r="G37" s="7" t="n">
        <v>69</v>
      </c>
      <c r="H37" s="14" t="inlineStr">
        <is>
          <t>SUPERSEDED - see notes</t>
        </is>
      </c>
      <c r="I37" s="6" t="inlineStr">
        <is>
          <t>UNKNOWN</t>
        </is>
      </c>
      <c r="J37" s="6" t="inlineStr">
        <is>
          <t>yes</t>
        </is>
      </c>
      <c r="K37" s="6" t="inlineStr">
        <is>
          <t>122.00 - 126.00</t>
        </is>
      </c>
    </row>
    <row r="38">
      <c r="A38" s="5" t="n">
        <v>46283</v>
      </c>
      <c r="B38" s="6" t="inlineStr">
        <is>
          <t>Fri</t>
        </is>
      </c>
      <c r="C38" s="6" t="inlineStr">
        <is>
          <t>Upgrade basement</t>
        </is>
      </c>
      <c r="D38" s="6" t="inlineStr">
        <is>
          <t>3 Required debt</t>
        </is>
      </c>
      <c r="E38" s="6" t="inlineStr">
        <is>
          <t>monthly</t>
        </is>
      </c>
      <c r="F38" s="11" t="n">
        <v>86.36</v>
      </c>
      <c r="G38" s="7" t="n">
        <v>86.36</v>
      </c>
      <c r="H38" s="6" t="inlineStr">
        <is>
          <t>Stated amount</t>
        </is>
      </c>
      <c r="I38" s="12" t="inlineStr">
        <is>
          <t>FIXED</t>
        </is>
      </c>
      <c r="J38" s="6" t="inlineStr">
        <is>
          <t>yes</t>
        </is>
      </c>
      <c r="K38" s="6" t="inlineStr"/>
    </row>
    <row r="39">
      <c r="A39" s="5" t="n">
        <v>46284</v>
      </c>
      <c r="B39" s="6" t="inlineStr">
        <is>
          <t>Sat</t>
        </is>
      </c>
      <c r="C39" s="6" t="inlineStr">
        <is>
          <t>Town of Clinton water</t>
        </is>
      </c>
      <c r="D39" s="6" t="inlineStr">
        <is>
          <t>2 Essential</t>
        </is>
      </c>
      <c r="E39" s="6" t="inlineStr">
        <is>
          <t>quarterly</t>
        </is>
      </c>
      <c r="F39" s="11" t="n">
        <v>873.53</v>
      </c>
      <c r="G39" s="7" t="n">
        <v>294.03</v>
      </c>
      <c r="H39" s="14" t="inlineStr">
        <is>
          <t>SUPERSEDED - see notes</t>
        </is>
      </c>
      <c r="I39" s="12" t="inlineStr">
        <is>
          <t>FIXED</t>
        </is>
      </c>
      <c r="J39" s="6" t="inlineStr">
        <is>
          <t>no</t>
        </is>
      </c>
      <c r="K39" s="6" t="inlineStr">
        <is>
          <t>0.00 - 873.53</t>
        </is>
      </c>
    </row>
    <row r="40">
      <c r="A40" s="5" t="n">
        <v>46284</v>
      </c>
      <c r="B40" s="6" t="inlineStr">
        <is>
          <t>Sat</t>
        </is>
      </c>
      <c r="C40" s="6" t="inlineStr">
        <is>
          <t>IRS state</t>
        </is>
      </c>
      <c r="D40" s="6" t="inlineStr">
        <is>
          <t>2 Essential</t>
        </is>
      </c>
      <c r="E40" s="6" t="inlineStr">
        <is>
          <t>monthly</t>
        </is>
      </c>
      <c r="F40" s="11" t="n">
        <v>114</v>
      </c>
      <c r="G40" s="7" t="n">
        <v>114</v>
      </c>
      <c r="H40" s="6" t="inlineStr">
        <is>
          <t>Stated amount</t>
        </is>
      </c>
      <c r="I40" s="12" t="inlineStr">
        <is>
          <t>FIXED</t>
        </is>
      </c>
      <c r="J40" s="6" t="inlineStr">
        <is>
          <t>no</t>
        </is>
      </c>
      <c r="K40" s="6" t="inlineStr"/>
    </row>
    <row r="41">
      <c r="A41" s="5" t="n">
        <v>46284</v>
      </c>
      <c r="B41" s="6" t="inlineStr">
        <is>
          <t>Sat</t>
        </is>
      </c>
      <c r="C41" s="6" t="inlineStr">
        <is>
          <t>IRS federal</t>
        </is>
      </c>
      <c r="D41" s="6" t="inlineStr">
        <is>
          <t>2 Essential</t>
        </is>
      </c>
      <c r="E41" s="6" t="inlineStr">
        <is>
          <t>monthly</t>
        </is>
      </c>
      <c r="F41" s="11" t="n">
        <v>103</v>
      </c>
      <c r="G41" s="7" t="n">
        <v>103</v>
      </c>
      <c r="H41" s="6" t="inlineStr">
        <is>
          <t>Stated amount</t>
        </is>
      </c>
      <c r="I41" s="12" t="inlineStr">
        <is>
          <t>FIXED</t>
        </is>
      </c>
      <c r="J41" s="6" t="inlineStr">
        <is>
          <t>no</t>
        </is>
      </c>
      <c r="K41" s="6" t="inlineStr"/>
    </row>
    <row r="42">
      <c r="A42" s="5" t="n">
        <v>46285</v>
      </c>
      <c r="B42" s="6" t="inlineStr">
        <is>
          <t>Sun</t>
        </is>
      </c>
      <c r="C42" s="6" t="inlineStr">
        <is>
          <t>Groceries</t>
        </is>
      </c>
      <c r="D42" s="6" t="inlineStr">
        <is>
          <t>2 Essential</t>
        </is>
      </c>
      <c r="E42" s="6" t="inlineStr">
        <is>
          <t>weekly</t>
        </is>
      </c>
      <c r="F42" s="11" t="n">
        <v>319.09</v>
      </c>
      <c r="G42" s="7" t="n">
        <v>319.09</v>
      </c>
      <c r="H42" s="6" t="inlineStr">
        <is>
          <t>Stated amount</t>
        </is>
      </c>
      <c r="I42" s="12" t="inlineStr">
        <is>
          <t>FIXED</t>
        </is>
      </c>
      <c r="J42" s="6" t="inlineStr">
        <is>
          <t>no</t>
        </is>
      </c>
      <c r="K42" s="6" t="inlineStr">
        <is>
          <t>12.78 - 791.32</t>
        </is>
      </c>
    </row>
    <row r="43">
      <c r="A43" s="5" t="n">
        <v>46285</v>
      </c>
      <c r="B43" s="6" t="inlineStr">
        <is>
          <t>Sun</t>
        </is>
      </c>
      <c r="C43" s="6" t="inlineStr">
        <is>
          <t>Fuel</t>
        </is>
      </c>
      <c r="D43" s="6" t="inlineStr">
        <is>
          <t>2 Essential</t>
        </is>
      </c>
      <c r="E43" s="6" t="inlineStr">
        <is>
          <t>weekly</t>
        </is>
      </c>
      <c r="F43" s="11" t="n">
        <v>90.77</v>
      </c>
      <c r="G43" s="7" t="n">
        <v>90.77</v>
      </c>
      <c r="H43" s="6" t="inlineStr">
        <is>
          <t>Stated amount</t>
        </is>
      </c>
      <c r="I43" s="12" t="inlineStr">
        <is>
          <t>FIXED</t>
        </is>
      </c>
      <c r="J43" s="6" t="inlineStr">
        <is>
          <t>no</t>
        </is>
      </c>
      <c r="K43" s="6" t="inlineStr">
        <is>
          <t>20.00 - 447.12</t>
        </is>
      </c>
    </row>
    <row r="44">
      <c r="A44" s="5" t="n">
        <v>46286</v>
      </c>
      <c r="B44" s="6" t="inlineStr">
        <is>
          <t>Mon</t>
        </is>
      </c>
      <c r="C44" s="6" t="inlineStr">
        <is>
          <t>Mortgage</t>
        </is>
      </c>
      <c r="D44" s="6" t="inlineStr">
        <is>
          <t>1 Secured/critical</t>
        </is>
      </c>
      <c r="E44" s="6" t="inlineStr">
        <is>
          <t>biweekly</t>
        </is>
      </c>
      <c r="F44" s="11" t="n">
        <v>1801.62</v>
      </c>
      <c r="G44" s="7" t="n">
        <v>1801.62</v>
      </c>
      <c r="H44" s="6" t="inlineStr">
        <is>
          <t>Stated amount</t>
        </is>
      </c>
      <c r="I44" s="12" t="inlineStr">
        <is>
          <t>FIXED</t>
        </is>
      </c>
      <c r="J44" s="6" t="inlineStr">
        <is>
          <t>no</t>
        </is>
      </c>
      <c r="K44" s="6" t="inlineStr"/>
    </row>
    <row r="45">
      <c r="A45" s="5" t="n">
        <v>46287</v>
      </c>
      <c r="B45" s="6" t="inlineStr">
        <is>
          <t>Tue</t>
        </is>
      </c>
      <c r="C45" s="6" t="inlineStr">
        <is>
          <t>Chase CC United</t>
        </is>
      </c>
      <c r="D45" s="6" t="inlineStr">
        <is>
          <t>3 Required debt</t>
        </is>
      </c>
      <c r="E45" s="6" t="inlineStr">
        <is>
          <t>monthly</t>
        </is>
      </c>
      <c r="F45" s="11" t="n">
        <v>88</v>
      </c>
      <c r="G45" s="7" t="n">
        <v>46</v>
      </c>
      <c r="H45" s="14" t="inlineStr">
        <is>
          <t>SUPERSEDED - see notes</t>
        </is>
      </c>
      <c r="I45" s="6" t="inlineStr">
        <is>
          <t>UNKNOWN</t>
        </is>
      </c>
      <c r="J45" s="6" t="inlineStr">
        <is>
          <t>yes</t>
        </is>
      </c>
      <c r="K45" s="6" t="inlineStr">
        <is>
          <t>76.00 - 88.00</t>
        </is>
      </c>
    </row>
    <row r="46">
      <c r="A46" s="5" t="n">
        <v>46288</v>
      </c>
      <c r="B46" s="6" t="inlineStr">
        <is>
          <t>Wed</t>
        </is>
      </c>
      <c r="C46" s="6" t="inlineStr">
        <is>
          <t>Netflix</t>
        </is>
      </c>
      <c r="D46" s="6" t="inlineStr">
        <is>
          <t>5 Discretionary</t>
        </is>
      </c>
      <c r="E46" s="6" t="inlineStr">
        <is>
          <t>monthly</t>
        </is>
      </c>
      <c r="F46" s="11" t="n">
        <v>21.31</v>
      </c>
      <c r="G46" s="7" t="n">
        <v>21.31</v>
      </c>
      <c r="H46" s="6" t="inlineStr">
        <is>
          <t>Stated amount</t>
        </is>
      </c>
      <c r="I46" s="6" t="inlineStr">
        <is>
          <t>UNKNOWN</t>
        </is>
      </c>
      <c r="J46" s="6" t="inlineStr">
        <is>
          <t>yes</t>
        </is>
      </c>
      <c r="K46" s="6" t="inlineStr"/>
    </row>
    <row r="47">
      <c r="A47" s="5" t="n">
        <v>46289</v>
      </c>
      <c r="B47" s="6" t="inlineStr">
        <is>
          <t>Thu</t>
        </is>
      </c>
      <c r="C47" s="6" t="inlineStr">
        <is>
          <t>Kia</t>
        </is>
      </c>
      <c r="D47" s="6" t="inlineStr">
        <is>
          <t>1 Secured/critical</t>
        </is>
      </c>
      <c r="E47" s="6" t="inlineStr">
        <is>
          <t>monthly</t>
        </is>
      </c>
      <c r="F47" s="11" t="n">
        <v>742.65</v>
      </c>
      <c r="G47" s="7" t="n">
        <v>742.65</v>
      </c>
      <c r="H47" s="6" t="inlineStr">
        <is>
          <t>Stated amount</t>
        </is>
      </c>
      <c r="I47" s="12" t="inlineStr">
        <is>
          <t>FIXED</t>
        </is>
      </c>
      <c r="J47" s="6" t="inlineStr">
        <is>
          <t>yes</t>
        </is>
      </c>
      <c r="K47" s="6" t="inlineStr"/>
    </row>
    <row r="48">
      <c r="A48" s="5" t="n">
        <v>46289</v>
      </c>
      <c r="B48" s="6" t="inlineStr">
        <is>
          <t>Thu</t>
        </is>
      </c>
      <c r="C48" s="6" t="inlineStr">
        <is>
          <t>Upstart past bills (from Sep)</t>
        </is>
      </c>
      <c r="D48" s="6" t="inlineStr">
        <is>
          <t>3 Required debt</t>
        </is>
      </c>
      <c r="E48" s="6" t="inlineStr">
        <is>
          <t>monthly</t>
        </is>
      </c>
      <c r="F48" s="11" t="n">
        <v>337.61</v>
      </c>
      <c r="G48" s="7" t="n">
        <v>337.61</v>
      </c>
      <c r="H48" s="6" t="inlineStr">
        <is>
          <t>Stated amount</t>
        </is>
      </c>
      <c r="I48" s="12" t="inlineStr">
        <is>
          <t>FIXED</t>
        </is>
      </c>
      <c r="J48" s="6" t="inlineStr">
        <is>
          <t>yes</t>
        </is>
      </c>
      <c r="K48" s="6" t="inlineStr"/>
    </row>
    <row r="49">
      <c r="A49" s="5" t="n">
        <v>46292</v>
      </c>
      <c r="B49" s="6" t="inlineStr">
        <is>
          <t>Sun</t>
        </is>
      </c>
      <c r="C49" s="6" t="inlineStr">
        <is>
          <t>Groceries</t>
        </is>
      </c>
      <c r="D49" s="6" t="inlineStr">
        <is>
          <t>2 Essential</t>
        </is>
      </c>
      <c r="E49" s="6" t="inlineStr">
        <is>
          <t>weekly</t>
        </is>
      </c>
      <c r="F49" s="11" t="n">
        <v>319.09</v>
      </c>
      <c r="G49" s="7" t="n">
        <v>319.09</v>
      </c>
      <c r="H49" s="6" t="inlineStr">
        <is>
          <t>Stated amount</t>
        </is>
      </c>
      <c r="I49" s="12" t="inlineStr">
        <is>
          <t>FIXED</t>
        </is>
      </c>
      <c r="J49" s="6" t="inlineStr">
        <is>
          <t>no</t>
        </is>
      </c>
      <c r="K49" s="6" t="inlineStr">
        <is>
          <t>12.78 - 791.32</t>
        </is>
      </c>
    </row>
    <row r="50">
      <c r="A50" s="5" t="n">
        <v>46292</v>
      </c>
      <c r="B50" s="6" t="inlineStr">
        <is>
          <t>Sun</t>
        </is>
      </c>
      <c r="C50" s="6" t="inlineStr">
        <is>
          <t>Fuel</t>
        </is>
      </c>
      <c r="D50" s="6" t="inlineStr">
        <is>
          <t>2 Essential</t>
        </is>
      </c>
      <c r="E50" s="6" t="inlineStr">
        <is>
          <t>weekly</t>
        </is>
      </c>
      <c r="F50" s="11" t="n">
        <v>90.77</v>
      </c>
      <c r="G50" s="7" t="n">
        <v>90.77</v>
      </c>
      <c r="H50" s="6" t="inlineStr">
        <is>
          <t>Stated amount</t>
        </is>
      </c>
      <c r="I50" s="12" t="inlineStr">
        <is>
          <t>FIXED</t>
        </is>
      </c>
      <c r="J50" s="6" t="inlineStr">
        <is>
          <t>no</t>
        </is>
      </c>
      <c r="K50" s="6" t="inlineStr">
        <is>
          <t>20.00 - 447.12</t>
        </is>
      </c>
    </row>
    <row r="51">
      <c r="A51" s="5" t="n">
        <v>46292</v>
      </c>
      <c r="B51" s="6" t="inlineStr">
        <is>
          <t>Sun</t>
        </is>
      </c>
      <c r="C51" s="6" t="inlineStr">
        <is>
          <t>Barclay Old Navy</t>
        </is>
      </c>
      <c r="D51" s="6" t="inlineStr">
        <is>
          <t>3 Required debt</t>
        </is>
      </c>
      <c r="E51" s="6" t="inlineStr">
        <is>
          <t>monthly</t>
        </is>
      </c>
      <c r="F51" s="11" t="n">
        <v>84.78</v>
      </c>
      <c r="G51" s="7" t="n">
        <v>60.74</v>
      </c>
      <c r="H51" s="13" t="inlineStr">
        <is>
          <t>Forecast at worst seen</t>
        </is>
      </c>
      <c r="I51" s="6" t="inlineStr">
        <is>
          <t>UNKNOWN</t>
        </is>
      </c>
      <c r="J51" s="6" t="inlineStr">
        <is>
          <t>yes</t>
        </is>
      </c>
      <c r="K51" s="6" t="inlineStr">
        <is>
          <t>52.98 - 84.78</t>
        </is>
      </c>
    </row>
    <row r="52">
      <c r="A52" s="5" t="n">
        <v>46294</v>
      </c>
      <c r="B52" s="6" t="inlineStr">
        <is>
          <t>Tue</t>
        </is>
      </c>
      <c r="C52" s="6" t="inlineStr">
        <is>
          <t>Xfinity Mobile</t>
        </is>
      </c>
      <c r="D52" s="6" t="inlineStr">
        <is>
          <t>2 Essential</t>
        </is>
      </c>
      <c r="E52" s="6" t="inlineStr">
        <is>
          <t>monthly</t>
        </is>
      </c>
      <c r="F52" s="11" t="n">
        <v>88.81999999999999</v>
      </c>
      <c r="G52" s="7" t="n">
        <v>88.81999999999999</v>
      </c>
      <c r="H52" s="6" t="inlineStr">
        <is>
          <t>Stated amount</t>
        </is>
      </c>
      <c r="I52" s="6" t="inlineStr">
        <is>
          <t>UNKNOWN</t>
        </is>
      </c>
      <c r="J52" s="6" t="inlineStr">
        <is>
          <t>yes</t>
        </is>
      </c>
      <c r="K52" s="6" t="inlineStr"/>
    </row>
    <row r="53">
      <c r="A53" s="5" t="n">
        <v>46294</v>
      </c>
      <c r="B53" s="6" t="inlineStr">
        <is>
          <t>Tue</t>
        </is>
      </c>
      <c r="C53" s="6" t="inlineStr">
        <is>
          <t>Affirm</t>
        </is>
      </c>
      <c r="D53" s="6" t="inlineStr">
        <is>
          <t>3 Required debt</t>
        </is>
      </c>
      <c r="E53" s="6" t="inlineStr">
        <is>
          <t>monthly</t>
        </is>
      </c>
      <c r="F53" s="11" t="n">
        <v>73.06999999999999</v>
      </c>
      <c r="G53" s="7" t="n">
        <v>73.06999999999999</v>
      </c>
      <c r="H53" s="6" t="inlineStr">
        <is>
          <t>Stated amount</t>
        </is>
      </c>
      <c r="I53" s="6" t="inlineStr">
        <is>
          <t>UNKNOWN</t>
        </is>
      </c>
      <c r="J53" s="6" t="inlineStr">
        <is>
          <t>yes</t>
        </is>
      </c>
      <c r="K53" s="6" t="inlineStr"/>
    </row>
    <row r="54">
      <c r="A54" s="8" t="n"/>
      <c r="B54" s="8" t="n"/>
      <c r="C54" s="9" t="inlineStr">
        <is>
          <t>Total money out</t>
        </is>
      </c>
      <c r="D54" s="8" t="n"/>
      <c r="E54" s="8" t="n"/>
      <c r="F54" s="10">
        <f>SUM(F15:F53)</f>
        <v/>
      </c>
      <c r="G54" s="10">
        <f>SUM(G15:G53)</f>
        <v/>
      </c>
      <c r="H54" s="8" t="n"/>
      <c r="I54" s="8" t="n"/>
      <c r="J54" s="8" t="n"/>
      <c r="K54" s="8" t="n"/>
    </row>
    <row r="56">
      <c r="A56" s="3" t="inlineStr">
        <is>
          <t>MONTH SUMMARY</t>
        </is>
      </c>
    </row>
    <row r="57">
      <c r="C57" s="6" t="inlineStr">
        <is>
          <t>Money in</t>
        </is>
      </c>
      <c r="D57" s="15" t="n"/>
      <c r="E57" s="15" t="n"/>
      <c r="F57" s="16">
        <f>E11</f>
        <v/>
      </c>
    </row>
    <row r="58">
      <c r="C58" s="6" t="inlineStr">
        <is>
          <t>Money out (budget)</t>
        </is>
      </c>
      <c r="D58" s="15" t="n"/>
      <c r="E58" s="15" t="n"/>
      <c r="F58" s="16">
        <f>F54</f>
        <v/>
      </c>
    </row>
    <row r="59">
      <c r="C59" s="9" t="inlineStr">
        <is>
          <t>Net for the month</t>
        </is>
      </c>
      <c r="D59" s="8" t="n"/>
      <c r="E59" s="8" t="n"/>
      <c r="F59" s="10">
        <f>E11-F54</f>
        <v/>
      </c>
    </row>
    <row r="60">
      <c r="C60" s="6" t="inlineStr">
        <is>
          <t>Money out at stored amounts</t>
        </is>
      </c>
      <c r="D60" s="15" t="n"/>
      <c r="E60" s="15" t="n"/>
      <c r="F60" s="16">
        <f>G54</f>
        <v/>
      </c>
    </row>
    <row r="61">
      <c r="C61" s="6" t="inlineStr">
        <is>
          <t>Over-forecast vs stored</t>
        </is>
      </c>
      <c r="D61" s="15" t="n"/>
      <c r="E61" s="15" t="n"/>
      <c r="F61" s="16">
        <f>F54-G54</f>
        <v/>
      </c>
    </row>
    <row r="63">
      <c r="A63" s="3" t="inlineStr">
        <is>
          <t>NOTES AND ASSUMPTIONS</t>
        </is>
      </c>
    </row>
    <row r="64">
      <c r="A64" s="17" t="inlineStr">
        <is>
          <t>- INCOME SWITCHED OFF: Branchburg BOE payroll (2,829.31 biweekly) is recorded in income.json but NOT counted anywhere in this workbook. If it is actually being received, every monthly net figure here is understated by that amount.</t>
        </is>
      </c>
    </row>
    <row r="65">
      <c r="A65" s="17" t="inlineStr">
        <is>
          <t>- Budget vs Stored: 'Budget' is what the engine forecasts for that date; 'Stored' is the figure recorded in bills.json.</t>
        </is>
      </c>
    </row>
    <row r="66">
      <c r="A66" s="17" t="inlineStr">
        <is>
          <t>- Seasonal profile: gas and electric carry a month-of-year profile built from recent years of statements, so their budget figure changes every month. Neither figure is wrong.</t>
        </is>
      </c>
    </row>
    <row r="67">
      <c r="A67" s="17" t="inlineStr">
        <is>
          <t>- Forecast at worst seen: a variable bill landing monthly or less often is budgeted at the top of its observed range, deliberately, because under-forecasting an outflow is what causes an overdraft.</t>
        </is>
      </c>
    </row>
    <row r="68">
      <c r="A68" s="17" t="inlineStr">
        <is>
          <t>- SUPERSEDED: the engine is forecasting ABOVE an amount the household renegotiated, because the observed maximum predates the correction. Affects four cards and the water bill. This is a defect, not a rule - the Stored column is the agreed figure.</t>
        </is>
      </c>
    </row>
    <row r="69">
      <c r="A69" s="17" t="inlineStr">
        <is>
          <t>- Movability: FIXED means secured or recorded as non-deferrable. UNKNOWN means nothing records how late the payment may safely be, so no date change can be recommended without confirming it.</t>
        </is>
      </c>
    </row>
    <row r="70">
      <c r="A70" s="17" t="inlineStr">
        <is>
          <t>- Weekly items (groceries, fuel) appear once per occurrence, so a five-week month legitimately shows five rows.</t>
        </is>
      </c>
    </row>
    <row r="71">
      <c r="A71" s="17" t="inlineStr">
        <is>
          <t>- Excluded as ended or paid off, kept for history: Affirm large, Trilogy Lacrosse.</t>
        </is>
      </c>
    </row>
  </sheetData>
  <mergeCells count="10">
    <mergeCell ref="A69:K69"/>
    <mergeCell ref="A64:K64"/>
    <mergeCell ref="A65:K65"/>
    <mergeCell ref="A2:K2"/>
    <mergeCell ref="A71:K71"/>
    <mergeCell ref="A68:K68"/>
    <mergeCell ref="A66:K66"/>
    <mergeCell ref="A1:K1"/>
    <mergeCell ref="A70:K70"/>
    <mergeCell ref="A67:K67"/>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K70"/>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October 2026</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46302</v>
      </c>
      <c r="B6" s="6" t="inlineStr">
        <is>
          <t>Wed</t>
        </is>
      </c>
      <c r="C6" s="6" t="inlineStr">
        <is>
          <t>Insight Global payroll</t>
        </is>
      </c>
      <c r="D6" s="6" t="inlineStr">
        <is>
          <t>weekly</t>
        </is>
      </c>
      <c r="E6" s="7" t="n">
        <v>2016.06</v>
      </c>
      <c r="F6" s="6" t="inlineStr">
        <is>
          <t>UNVERIFIED - flagged needs_review</t>
        </is>
      </c>
    </row>
    <row r="7">
      <c r="A7" s="5" t="n">
        <v>46309</v>
      </c>
      <c r="B7" s="6" t="inlineStr">
        <is>
          <t>Wed</t>
        </is>
      </c>
      <c r="C7" s="6" t="inlineStr">
        <is>
          <t>Insight Global payroll</t>
        </is>
      </c>
      <c r="D7" s="6" t="inlineStr">
        <is>
          <t>weekly</t>
        </is>
      </c>
      <c r="E7" s="7" t="n">
        <v>2016.06</v>
      </c>
      <c r="F7" s="6" t="inlineStr">
        <is>
          <t>UNVERIFIED - flagged needs_review</t>
        </is>
      </c>
    </row>
    <row r="8">
      <c r="A8" s="5" t="n">
        <v>46316</v>
      </c>
      <c r="B8" s="6" t="inlineStr">
        <is>
          <t>Wed</t>
        </is>
      </c>
      <c r="C8" s="6" t="inlineStr">
        <is>
          <t>Insight Global payroll</t>
        </is>
      </c>
      <c r="D8" s="6" t="inlineStr">
        <is>
          <t>weekly</t>
        </is>
      </c>
      <c r="E8" s="7" t="n">
        <v>2016.06</v>
      </c>
      <c r="F8" s="6" t="inlineStr">
        <is>
          <t>UNVERIFIED - flagged needs_review</t>
        </is>
      </c>
    </row>
    <row r="9">
      <c r="A9" s="5" t="n">
        <v>46323</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46298</v>
      </c>
      <c r="B14" s="6" t="inlineStr">
        <is>
          <t>Sat</t>
        </is>
      </c>
      <c r="C14" s="6" t="inlineStr">
        <is>
          <t>JCP&amp;L / FirstEnergy</t>
        </is>
      </c>
      <c r="D14" s="6" t="inlineStr">
        <is>
          <t>2 Essential</t>
        </is>
      </c>
      <c r="E14" s="6" t="inlineStr">
        <is>
          <t>monthly</t>
        </is>
      </c>
      <c r="F14" s="11" t="n">
        <v>295.83</v>
      </c>
      <c r="G14" s="7" t="n">
        <v>418.98</v>
      </c>
      <c r="H14" s="6" t="inlineStr">
        <is>
          <t>Seasonal profile</t>
        </is>
      </c>
      <c r="I14" s="12" t="inlineStr">
        <is>
          <t>FIXED</t>
        </is>
      </c>
      <c r="J14" s="6" t="inlineStr">
        <is>
          <t>no</t>
        </is>
      </c>
      <c r="K14" s="6" t="inlineStr">
        <is>
          <t>130.28 - 489.87</t>
        </is>
      </c>
    </row>
    <row r="15">
      <c r="A15" s="5" t="n">
        <v>46299</v>
      </c>
      <c r="B15" s="6" t="inlineStr">
        <is>
          <t>Sun</t>
        </is>
      </c>
      <c r="C15" s="6" t="inlineStr">
        <is>
          <t>Groceries</t>
        </is>
      </c>
      <c r="D15" s="6" t="inlineStr">
        <is>
          <t>2 Essential</t>
        </is>
      </c>
      <c r="E15" s="6" t="inlineStr">
        <is>
          <t>weekly</t>
        </is>
      </c>
      <c r="F15" s="11" t="n">
        <v>319.09</v>
      </c>
      <c r="G15" s="7" t="n">
        <v>319.09</v>
      </c>
      <c r="H15" s="6" t="inlineStr">
        <is>
          <t>Stated amount</t>
        </is>
      </c>
      <c r="I15" s="12" t="inlineStr">
        <is>
          <t>FIXED</t>
        </is>
      </c>
      <c r="J15" s="6" t="inlineStr">
        <is>
          <t>no</t>
        </is>
      </c>
      <c r="K15" s="6" t="inlineStr">
        <is>
          <t>12.78 - 791.32</t>
        </is>
      </c>
    </row>
    <row r="16">
      <c r="A16" s="5" t="n">
        <v>46299</v>
      </c>
      <c r="B16" s="6" t="inlineStr">
        <is>
          <t>Sun</t>
        </is>
      </c>
      <c r="C16" s="6" t="inlineStr">
        <is>
          <t>Culligan</t>
        </is>
      </c>
      <c r="D16" s="6" t="inlineStr">
        <is>
          <t>5 Discretionary</t>
        </is>
      </c>
      <c r="E16" s="6" t="inlineStr">
        <is>
          <t>monthly</t>
        </is>
      </c>
      <c r="F16" s="11" t="n">
        <v>307.7</v>
      </c>
      <c r="G16" s="7" t="n">
        <v>40.39</v>
      </c>
      <c r="H16" s="13" t="inlineStr">
        <is>
          <t>Forecast at worst seen</t>
        </is>
      </c>
      <c r="I16" s="6" t="inlineStr">
        <is>
          <t>UNKNOWN</t>
        </is>
      </c>
      <c r="J16" s="6" t="inlineStr">
        <is>
          <t>no</t>
        </is>
      </c>
      <c r="K16" s="6" t="inlineStr">
        <is>
          <t>40.39 - 307.70</t>
        </is>
      </c>
    </row>
    <row r="17">
      <c r="A17" s="5" t="n">
        <v>46299</v>
      </c>
      <c r="B17" s="6" t="inlineStr">
        <is>
          <t>Sun</t>
        </is>
      </c>
      <c r="C17" s="6" t="inlineStr">
        <is>
          <t>Fuel</t>
        </is>
      </c>
      <c r="D17" s="6" t="inlineStr">
        <is>
          <t>2 Essential</t>
        </is>
      </c>
      <c r="E17" s="6" t="inlineStr">
        <is>
          <t>weekly</t>
        </is>
      </c>
      <c r="F17" s="11" t="n">
        <v>90.77</v>
      </c>
      <c r="G17" s="7" t="n">
        <v>90.77</v>
      </c>
      <c r="H17" s="6" t="inlineStr">
        <is>
          <t>Stated amount</t>
        </is>
      </c>
      <c r="I17" s="12" t="inlineStr">
        <is>
          <t>FIXED</t>
        </is>
      </c>
      <c r="J17" s="6" t="inlineStr">
        <is>
          <t>no</t>
        </is>
      </c>
      <c r="K17" s="6" t="inlineStr">
        <is>
          <t>20.00 - 447.12</t>
        </is>
      </c>
    </row>
    <row r="18">
      <c r="A18" s="5" t="n">
        <v>46299</v>
      </c>
      <c r="B18" s="6" t="inlineStr">
        <is>
          <t>Sun</t>
        </is>
      </c>
      <c r="C18" s="6" t="inlineStr">
        <is>
          <t>TJX Rewards</t>
        </is>
      </c>
      <c r="D18" s="6" t="inlineStr">
        <is>
          <t>5 Discretionary</t>
        </is>
      </c>
      <c r="E18" s="6" t="inlineStr">
        <is>
          <t>monthly</t>
        </is>
      </c>
      <c r="F18" s="11" t="n">
        <v>36</v>
      </c>
      <c r="G18" s="7" t="n">
        <v>36</v>
      </c>
      <c r="H18" s="6" t="inlineStr">
        <is>
          <t>Stated amount</t>
        </is>
      </c>
      <c r="I18" s="6" t="inlineStr">
        <is>
          <t>UNKNOWN</t>
        </is>
      </c>
      <c r="J18" s="6" t="inlineStr">
        <is>
          <t>yes</t>
        </is>
      </c>
      <c r="K18" s="6" t="inlineStr"/>
    </row>
    <row r="19">
      <c r="A19" s="5" t="n">
        <v>46300</v>
      </c>
      <c r="B19" s="6" t="inlineStr">
        <is>
          <t>Mon</t>
        </is>
      </c>
      <c r="C19" s="6" t="inlineStr">
        <is>
          <t>Mortgage</t>
        </is>
      </c>
      <c r="D19" s="6" t="inlineStr">
        <is>
          <t>1 Secured/critical</t>
        </is>
      </c>
      <c r="E19" s="6" t="inlineStr">
        <is>
          <t>biweekly</t>
        </is>
      </c>
      <c r="F19" s="11" t="n">
        <v>1801.62</v>
      </c>
      <c r="G19" s="7" t="n">
        <v>1801.62</v>
      </c>
      <c r="H19" s="6" t="inlineStr">
        <is>
          <t>Stated amount</t>
        </is>
      </c>
      <c r="I19" s="12" t="inlineStr">
        <is>
          <t>FIXED</t>
        </is>
      </c>
      <c r="J19" s="6" t="inlineStr">
        <is>
          <t>no</t>
        </is>
      </c>
      <c r="K19" s="6" t="inlineStr"/>
    </row>
    <row r="20">
      <c r="A20" s="5" t="n">
        <v>46301</v>
      </c>
      <c r="B20" s="6" t="inlineStr">
        <is>
          <t>Tue</t>
        </is>
      </c>
      <c r="C20" s="6" t="inlineStr">
        <is>
          <t>NJ Total Select 1of4</t>
        </is>
      </c>
      <c r="D20" s="6" t="inlineStr">
        <is>
          <t>4 Scheduled</t>
        </is>
      </c>
      <c r="E20" s="6" t="inlineStr">
        <is>
          <t>once</t>
        </is>
      </c>
      <c r="F20" s="11" t="n">
        <v>517.5</v>
      </c>
      <c r="G20" s="7" t="n">
        <v>517.5</v>
      </c>
      <c r="H20" s="6" t="inlineStr">
        <is>
          <t>Stated amount</t>
        </is>
      </c>
      <c r="I20" s="6" t="inlineStr">
        <is>
          <t>UNKNOWN</t>
        </is>
      </c>
      <c r="J20" s="6" t="inlineStr">
        <is>
          <t>no</t>
        </is>
      </c>
      <c r="K20" s="6" t="inlineStr"/>
    </row>
    <row r="21">
      <c r="A21" s="5" t="n">
        <v>46301</v>
      </c>
      <c r="B21" s="6" t="inlineStr">
        <is>
          <t>Tue</t>
        </is>
      </c>
      <c r="C21" s="6" t="inlineStr">
        <is>
          <t>One Main loan</t>
        </is>
      </c>
      <c r="D21" s="6" t="inlineStr">
        <is>
          <t>3 Required debt</t>
        </is>
      </c>
      <c r="E21" s="6" t="inlineStr">
        <is>
          <t>monthly</t>
        </is>
      </c>
      <c r="F21" s="11" t="n">
        <v>388.24</v>
      </c>
      <c r="G21" s="7" t="n">
        <v>388.24</v>
      </c>
      <c r="H21" s="6" t="inlineStr">
        <is>
          <t>Stated amount</t>
        </is>
      </c>
      <c r="I21" s="12" t="inlineStr">
        <is>
          <t>FIXED</t>
        </is>
      </c>
      <c r="J21" s="6" t="inlineStr">
        <is>
          <t>yes</t>
        </is>
      </c>
      <c r="K21" s="6" t="inlineStr"/>
    </row>
    <row r="22">
      <c r="A22" s="5" t="n">
        <v>46302</v>
      </c>
      <c r="B22" s="6" t="inlineStr">
        <is>
          <t>Wed</t>
        </is>
      </c>
      <c r="C22" s="6" t="inlineStr">
        <is>
          <t>Republic trash Q4</t>
        </is>
      </c>
      <c r="D22" s="6" t="inlineStr">
        <is>
          <t>4 Scheduled</t>
        </is>
      </c>
      <c r="E22" s="6" t="inlineStr">
        <is>
          <t>once</t>
        </is>
      </c>
      <c r="F22" s="11" t="n">
        <v>177.3</v>
      </c>
      <c r="G22" s="7" t="n">
        <v>177.3</v>
      </c>
      <c r="H22" s="6" t="inlineStr">
        <is>
          <t>Stated amount</t>
        </is>
      </c>
      <c r="I22" s="6" t="inlineStr">
        <is>
          <t>UNKNOWN</t>
        </is>
      </c>
      <c r="J22" s="6" t="inlineStr">
        <is>
          <t>no</t>
        </is>
      </c>
      <c r="K22" s="6" t="inlineStr">
        <is>
          <t>168.12 - 177.30</t>
        </is>
      </c>
    </row>
    <row r="23">
      <c r="A23" s="5" t="n">
        <v>46303</v>
      </c>
      <c r="B23" s="6" t="inlineStr">
        <is>
          <t>Thu</t>
        </is>
      </c>
      <c r="C23" s="6" t="inlineStr">
        <is>
          <t>PNC</t>
        </is>
      </c>
      <c r="D23" s="6" t="inlineStr">
        <is>
          <t>3 Required debt</t>
        </is>
      </c>
      <c r="E23" s="6" t="inlineStr">
        <is>
          <t>monthly</t>
        </is>
      </c>
      <c r="F23" s="11" t="n">
        <v>150</v>
      </c>
      <c r="G23" s="7" t="n">
        <v>70</v>
      </c>
      <c r="H23" s="13" t="inlineStr">
        <is>
          <t>Forecast at worst seen</t>
        </is>
      </c>
      <c r="I23" s="6" t="inlineStr">
        <is>
          <t>UNKNOWN</t>
        </is>
      </c>
      <c r="J23" s="6" t="inlineStr">
        <is>
          <t>no</t>
        </is>
      </c>
      <c r="K23" s="6" t="inlineStr">
        <is>
          <t>70.00 - 150.00</t>
        </is>
      </c>
    </row>
    <row r="24">
      <c r="A24" s="5" t="n">
        <v>46306</v>
      </c>
      <c r="B24" s="6" t="inlineStr">
        <is>
          <t>Sun</t>
        </is>
      </c>
      <c r="C24" s="6" t="inlineStr">
        <is>
          <t>Groceries</t>
        </is>
      </c>
      <c r="D24" s="6" t="inlineStr">
        <is>
          <t>2 Essential</t>
        </is>
      </c>
      <c r="E24" s="6" t="inlineStr">
        <is>
          <t>weekly</t>
        </is>
      </c>
      <c r="F24" s="11" t="n">
        <v>319.09</v>
      </c>
      <c r="G24" s="7" t="n">
        <v>319.09</v>
      </c>
      <c r="H24" s="6" t="inlineStr">
        <is>
          <t>Stated amount</t>
        </is>
      </c>
      <c r="I24" s="12" t="inlineStr">
        <is>
          <t>FIXED</t>
        </is>
      </c>
      <c r="J24" s="6" t="inlineStr">
        <is>
          <t>no</t>
        </is>
      </c>
      <c r="K24" s="6" t="inlineStr">
        <is>
          <t>12.78 - 791.32</t>
        </is>
      </c>
    </row>
    <row r="25">
      <c r="A25" s="5" t="n">
        <v>46306</v>
      </c>
      <c r="B25" s="6" t="inlineStr">
        <is>
          <t>Sun</t>
        </is>
      </c>
      <c r="C25" s="6" t="inlineStr">
        <is>
          <t>Fuel</t>
        </is>
      </c>
      <c r="D25" s="6" t="inlineStr">
        <is>
          <t>2 Essential</t>
        </is>
      </c>
      <c r="E25" s="6" t="inlineStr">
        <is>
          <t>weekly</t>
        </is>
      </c>
      <c r="F25" s="11" t="n">
        <v>90.77</v>
      </c>
      <c r="G25" s="7" t="n">
        <v>90.77</v>
      </c>
      <c r="H25" s="6" t="inlineStr">
        <is>
          <t>Stated amount</t>
        </is>
      </c>
      <c r="I25" s="12" t="inlineStr">
        <is>
          <t>FIXED</t>
        </is>
      </c>
      <c r="J25" s="6" t="inlineStr">
        <is>
          <t>no</t>
        </is>
      </c>
      <c r="K25" s="6" t="inlineStr">
        <is>
          <t>20.00 - 447.12</t>
        </is>
      </c>
    </row>
    <row r="26">
      <c r="A26" s="5" t="n">
        <v>46306</v>
      </c>
      <c r="B26" s="6" t="inlineStr">
        <is>
          <t>Sun</t>
        </is>
      </c>
      <c r="C26" s="6" t="inlineStr">
        <is>
          <t>Elizabethtown Gas</t>
        </is>
      </c>
      <c r="D26" s="6" t="inlineStr">
        <is>
          <t>2 Essential</t>
        </is>
      </c>
      <c r="E26" s="6" t="inlineStr">
        <is>
          <t>monthly</t>
        </is>
      </c>
      <c r="F26" s="11" t="n">
        <v>69.16</v>
      </c>
      <c r="G26" s="7" t="n">
        <v>54.03</v>
      </c>
      <c r="H26" s="6" t="inlineStr">
        <is>
          <t>Seasonal profile</t>
        </is>
      </c>
      <c r="I26" s="12" t="inlineStr">
        <is>
          <t>FIXED</t>
        </is>
      </c>
      <c r="J26" s="6" t="inlineStr">
        <is>
          <t>no</t>
        </is>
      </c>
      <c r="K26" s="6" t="inlineStr">
        <is>
          <t>54.03 - 550.83</t>
        </is>
      </c>
    </row>
    <row r="27">
      <c r="A27" s="5" t="n">
        <v>46306</v>
      </c>
      <c r="B27" s="6" t="inlineStr">
        <is>
          <t>Sun</t>
        </is>
      </c>
      <c r="C27" s="6" t="inlineStr">
        <is>
          <t>T-Mobile Lia</t>
        </is>
      </c>
      <c r="D27" s="6" t="inlineStr">
        <is>
          <t>2 Essential</t>
        </is>
      </c>
      <c r="E27" s="6" t="inlineStr">
        <is>
          <t>monthly</t>
        </is>
      </c>
      <c r="F27" s="11" t="n">
        <v>20.75</v>
      </c>
      <c r="G27" s="7" t="n">
        <v>20.75</v>
      </c>
      <c r="H27" s="6" t="inlineStr">
        <is>
          <t>Stated amount</t>
        </is>
      </c>
      <c r="I27" s="6" t="inlineStr">
        <is>
          <t>UNKNOWN</t>
        </is>
      </c>
      <c r="J27" s="6" t="inlineStr">
        <is>
          <t>yes</t>
        </is>
      </c>
      <c r="K27" s="6" t="inlineStr"/>
    </row>
    <row r="28">
      <c r="A28" s="5" t="n">
        <v>46307</v>
      </c>
      <c r="B28" s="6" t="inlineStr">
        <is>
          <t>Mon</t>
        </is>
      </c>
      <c r="C28" s="6" t="inlineStr">
        <is>
          <t>Hanover Auto</t>
        </is>
      </c>
      <c r="D28" s="6" t="inlineStr">
        <is>
          <t>2 Essential</t>
        </is>
      </c>
      <c r="E28" s="6" t="inlineStr">
        <is>
          <t>monthly</t>
        </is>
      </c>
      <c r="F28" s="11" t="n">
        <v>513.27</v>
      </c>
      <c r="G28" s="7" t="n">
        <v>513.27</v>
      </c>
      <c r="H28" s="6" t="inlineStr">
        <is>
          <t>Stated amount</t>
        </is>
      </c>
      <c r="I28" s="12" t="inlineStr">
        <is>
          <t>FIXED</t>
        </is>
      </c>
      <c r="J28" s="6" t="inlineStr">
        <is>
          <t>no</t>
        </is>
      </c>
      <c r="K28" s="6" t="inlineStr"/>
    </row>
    <row r="29">
      <c r="A29" s="5" t="n">
        <v>46307</v>
      </c>
      <c r="B29" s="6" t="inlineStr">
        <is>
          <t>Mon</t>
        </is>
      </c>
      <c r="C29" s="6" t="inlineStr">
        <is>
          <t>Comenity</t>
        </is>
      </c>
      <c r="D29" s="6" t="inlineStr">
        <is>
          <t>3 Required debt</t>
        </is>
      </c>
      <c r="E29" s="6" t="inlineStr">
        <is>
          <t>monthly</t>
        </is>
      </c>
      <c r="F29" s="11" t="n">
        <v>65</v>
      </c>
      <c r="G29" s="7" t="n">
        <v>50</v>
      </c>
      <c r="H29" s="13" t="inlineStr">
        <is>
          <t>Forecast at worst seen</t>
        </is>
      </c>
      <c r="I29" s="6" t="inlineStr">
        <is>
          <t>UNKNOWN</t>
        </is>
      </c>
      <c r="J29" s="6" t="inlineStr">
        <is>
          <t>no</t>
        </is>
      </c>
      <c r="K29" s="6" t="inlineStr">
        <is>
          <t>40.00 - 65.00</t>
        </is>
      </c>
    </row>
    <row r="30">
      <c r="A30" s="5" t="n">
        <v>46309</v>
      </c>
      <c r="B30" s="6" t="inlineStr">
        <is>
          <t>Wed</t>
        </is>
      </c>
      <c r="C30" s="6" t="inlineStr">
        <is>
          <t>Home Depot</t>
        </is>
      </c>
      <c r="D30" s="6" t="inlineStr">
        <is>
          <t>5 Discretionary</t>
        </is>
      </c>
      <c r="E30" s="6" t="inlineStr">
        <is>
          <t>monthly</t>
        </is>
      </c>
      <c r="F30" s="11" t="n">
        <v>100</v>
      </c>
      <c r="G30" s="7" t="n">
        <v>100</v>
      </c>
      <c r="H30" s="6" t="inlineStr">
        <is>
          <t>Stated amount</t>
        </is>
      </c>
      <c r="I30" s="6" t="inlineStr">
        <is>
          <t>UNKNOWN</t>
        </is>
      </c>
      <c r="J30" s="6" t="inlineStr">
        <is>
          <t>yes</t>
        </is>
      </c>
      <c r="K30" s="6" t="inlineStr">
        <is>
          <t>32.70 - 100.00</t>
        </is>
      </c>
    </row>
    <row r="31">
      <c r="A31" s="5" t="n">
        <v>46310</v>
      </c>
      <c r="B31" s="6" t="inlineStr">
        <is>
          <t>Thu</t>
        </is>
      </c>
      <c r="C31" s="6" t="inlineStr">
        <is>
          <t>Loew &amp; Patel braces</t>
        </is>
      </c>
      <c r="D31" s="6" t="inlineStr">
        <is>
          <t>4 Scheduled</t>
        </is>
      </c>
      <c r="E31" s="6" t="inlineStr">
        <is>
          <t>monthly</t>
        </is>
      </c>
      <c r="F31" s="11" t="n">
        <v>400</v>
      </c>
      <c r="G31" s="7" t="n">
        <v>400</v>
      </c>
      <c r="H31" s="6" t="inlineStr">
        <is>
          <t>Stated amount</t>
        </is>
      </c>
      <c r="I31" s="6" t="inlineStr">
        <is>
          <t>UNKNOWN</t>
        </is>
      </c>
      <c r="J31" s="6" t="inlineStr">
        <is>
          <t>no</t>
        </is>
      </c>
      <c r="K31" s="6" t="inlineStr">
        <is>
          <t>15.00 - 0.00</t>
        </is>
      </c>
    </row>
    <row r="32">
      <c r="A32" s="5" t="n">
        <v>46310</v>
      </c>
      <c r="B32" s="6" t="inlineStr">
        <is>
          <t>Thu</t>
        </is>
      </c>
      <c r="C32" s="6" t="inlineStr">
        <is>
          <t>Upstart debt consol</t>
        </is>
      </c>
      <c r="D32" s="6" t="inlineStr">
        <is>
          <t>3 Required debt</t>
        </is>
      </c>
      <c r="E32" s="6" t="inlineStr">
        <is>
          <t>monthly</t>
        </is>
      </c>
      <c r="F32" s="11" t="n">
        <v>161</v>
      </c>
      <c r="G32" s="7" t="n">
        <v>161</v>
      </c>
      <c r="H32" s="6" t="inlineStr">
        <is>
          <t>Stated amount</t>
        </is>
      </c>
      <c r="I32" s="12" t="inlineStr">
        <is>
          <t>FIXED</t>
        </is>
      </c>
      <c r="J32" s="6" t="inlineStr">
        <is>
          <t>yes</t>
        </is>
      </c>
      <c r="K32" s="6" t="inlineStr"/>
    </row>
    <row r="33">
      <c r="A33" s="5" t="n">
        <v>46312</v>
      </c>
      <c r="B33" s="6" t="inlineStr">
        <is>
          <t>Sat</t>
        </is>
      </c>
      <c r="C33" s="6" t="inlineStr">
        <is>
          <t>Capital One CC</t>
        </is>
      </c>
      <c r="D33" s="6" t="inlineStr">
        <is>
          <t>3 Required debt</t>
        </is>
      </c>
      <c r="E33" s="6" t="inlineStr">
        <is>
          <t>monthly</t>
        </is>
      </c>
      <c r="F33" s="11" t="n">
        <v>163</v>
      </c>
      <c r="G33" s="7" t="n">
        <v>105</v>
      </c>
      <c r="H33" s="14" t="inlineStr">
        <is>
          <t>SUPERSEDED - see notes</t>
        </is>
      </c>
      <c r="I33" s="6" t="inlineStr">
        <is>
          <t>UNKNOWN</t>
        </is>
      </c>
      <c r="J33" s="6" t="inlineStr">
        <is>
          <t>yes</t>
        </is>
      </c>
      <c r="K33" s="6" t="inlineStr">
        <is>
          <t>154.00 - 163.00</t>
        </is>
      </c>
    </row>
    <row r="34">
      <c r="A34" s="5" t="n">
        <v>46312</v>
      </c>
      <c r="B34" s="6" t="inlineStr">
        <is>
          <t>Sat</t>
        </is>
      </c>
      <c r="C34" s="6" t="inlineStr">
        <is>
          <t>Chase CC Amazon</t>
        </is>
      </c>
      <c r="D34" s="6" t="inlineStr">
        <is>
          <t>3 Required debt</t>
        </is>
      </c>
      <c r="E34" s="6" t="inlineStr">
        <is>
          <t>monthly</t>
        </is>
      </c>
      <c r="F34" s="11" t="n">
        <v>136</v>
      </c>
      <c r="G34" s="7" t="n">
        <v>80</v>
      </c>
      <c r="H34" s="14" t="inlineStr">
        <is>
          <t>SUPERSEDED - see notes</t>
        </is>
      </c>
      <c r="I34" s="6" t="inlineStr">
        <is>
          <t>UNKNOWN</t>
        </is>
      </c>
      <c r="J34" s="6" t="inlineStr">
        <is>
          <t>yes</t>
        </is>
      </c>
      <c r="K34" s="6" t="inlineStr">
        <is>
          <t>124.00 - 136.00</t>
        </is>
      </c>
    </row>
    <row r="35">
      <c r="A35" s="5" t="n">
        <v>46313</v>
      </c>
      <c r="B35" s="6" t="inlineStr">
        <is>
          <t>Sun</t>
        </is>
      </c>
      <c r="C35" s="6" t="inlineStr">
        <is>
          <t>Groceries</t>
        </is>
      </c>
      <c r="D35" s="6" t="inlineStr">
        <is>
          <t>2 Essential</t>
        </is>
      </c>
      <c r="E35" s="6" t="inlineStr">
        <is>
          <t>weekly</t>
        </is>
      </c>
      <c r="F35" s="11" t="n">
        <v>319.09</v>
      </c>
      <c r="G35" s="7" t="n">
        <v>319.09</v>
      </c>
      <c r="H35" s="6" t="inlineStr">
        <is>
          <t>Stated amount</t>
        </is>
      </c>
      <c r="I35" s="12" t="inlineStr">
        <is>
          <t>FIXED</t>
        </is>
      </c>
      <c r="J35" s="6" t="inlineStr">
        <is>
          <t>no</t>
        </is>
      </c>
      <c r="K35" s="6" t="inlineStr">
        <is>
          <t>12.78 - 791.32</t>
        </is>
      </c>
    </row>
    <row r="36">
      <c r="A36" s="5" t="n">
        <v>46313</v>
      </c>
      <c r="B36" s="6" t="inlineStr">
        <is>
          <t>Sun</t>
        </is>
      </c>
      <c r="C36" s="6" t="inlineStr">
        <is>
          <t>CCU car loan</t>
        </is>
      </c>
      <c r="D36" s="6" t="inlineStr">
        <is>
          <t>1 Secured/critical</t>
        </is>
      </c>
      <c r="E36" s="6" t="inlineStr">
        <is>
          <t>monthly</t>
        </is>
      </c>
      <c r="F36" s="11" t="n">
        <v>306.9</v>
      </c>
      <c r="G36" s="7" t="n">
        <v>306.9</v>
      </c>
      <c r="H36" s="6" t="inlineStr">
        <is>
          <t>Stated amount</t>
        </is>
      </c>
      <c r="I36" s="12" t="inlineStr">
        <is>
          <t>FIXED</t>
        </is>
      </c>
      <c r="J36" s="6" t="inlineStr">
        <is>
          <t>yes</t>
        </is>
      </c>
      <c r="K36" s="6" t="inlineStr"/>
    </row>
    <row r="37">
      <c r="A37" s="5" t="n">
        <v>46313</v>
      </c>
      <c r="B37" s="6" t="inlineStr">
        <is>
          <t>Sun</t>
        </is>
      </c>
      <c r="C37" s="6" t="inlineStr">
        <is>
          <t>Comcast</t>
        </is>
      </c>
      <c r="D37" s="6" t="inlineStr">
        <is>
          <t>2 Essential</t>
        </is>
      </c>
      <c r="E37" s="6" t="inlineStr">
        <is>
          <t>monthly</t>
        </is>
      </c>
      <c r="F37" s="11" t="n">
        <v>138.93</v>
      </c>
      <c r="G37" s="7" t="n">
        <v>138.93</v>
      </c>
      <c r="H37" s="6" t="inlineStr">
        <is>
          <t>Stated amount</t>
        </is>
      </c>
      <c r="I37" s="6" t="inlineStr">
        <is>
          <t>UNKNOWN</t>
        </is>
      </c>
      <c r="J37" s="6" t="inlineStr">
        <is>
          <t>yes</t>
        </is>
      </c>
      <c r="K37" s="6" t="inlineStr"/>
    </row>
    <row r="38">
      <c r="A38" s="5" t="n">
        <v>46313</v>
      </c>
      <c r="B38" s="6" t="inlineStr">
        <is>
          <t>Sun</t>
        </is>
      </c>
      <c r="C38" s="6" t="inlineStr">
        <is>
          <t>Lowes</t>
        </is>
      </c>
      <c r="D38" s="6" t="inlineStr">
        <is>
          <t>5 Discretionary</t>
        </is>
      </c>
      <c r="E38" s="6" t="inlineStr">
        <is>
          <t>monthly</t>
        </is>
      </c>
      <c r="F38" s="11" t="n">
        <v>126</v>
      </c>
      <c r="G38" s="7" t="n">
        <v>69</v>
      </c>
      <c r="H38" s="14" t="inlineStr">
        <is>
          <t>SUPERSEDED - see notes</t>
        </is>
      </c>
      <c r="I38" s="6" t="inlineStr">
        <is>
          <t>UNKNOWN</t>
        </is>
      </c>
      <c r="J38" s="6" t="inlineStr">
        <is>
          <t>yes</t>
        </is>
      </c>
      <c r="K38" s="6" t="inlineStr">
        <is>
          <t>122.00 - 126.00</t>
        </is>
      </c>
    </row>
    <row r="39">
      <c r="A39" s="5" t="n">
        <v>46313</v>
      </c>
      <c r="B39" s="6" t="inlineStr">
        <is>
          <t>Sun</t>
        </is>
      </c>
      <c r="C39" s="6" t="inlineStr">
        <is>
          <t>Fuel</t>
        </is>
      </c>
      <c r="D39" s="6" t="inlineStr">
        <is>
          <t>2 Essential</t>
        </is>
      </c>
      <c r="E39" s="6" t="inlineStr">
        <is>
          <t>weekly</t>
        </is>
      </c>
      <c r="F39" s="11" t="n">
        <v>90.77</v>
      </c>
      <c r="G39" s="7" t="n">
        <v>90.77</v>
      </c>
      <c r="H39" s="6" t="inlineStr">
        <is>
          <t>Stated amount</t>
        </is>
      </c>
      <c r="I39" s="12" t="inlineStr">
        <is>
          <t>FIXED</t>
        </is>
      </c>
      <c r="J39" s="6" t="inlineStr">
        <is>
          <t>no</t>
        </is>
      </c>
      <c r="K39" s="6" t="inlineStr">
        <is>
          <t>20.00 - 447.12</t>
        </is>
      </c>
    </row>
    <row r="40">
      <c r="A40" s="5" t="n">
        <v>46313</v>
      </c>
      <c r="B40" s="6" t="inlineStr">
        <is>
          <t>Sun</t>
        </is>
      </c>
      <c r="C40" s="6" t="inlineStr">
        <is>
          <t>Upgrade basement</t>
        </is>
      </c>
      <c r="D40" s="6" t="inlineStr">
        <is>
          <t>3 Required debt</t>
        </is>
      </c>
      <c r="E40" s="6" t="inlineStr">
        <is>
          <t>monthly</t>
        </is>
      </c>
      <c r="F40" s="11" t="n">
        <v>86.36</v>
      </c>
      <c r="G40" s="7" t="n">
        <v>86.36</v>
      </c>
      <c r="H40" s="6" t="inlineStr">
        <is>
          <t>Stated amount</t>
        </is>
      </c>
      <c r="I40" s="12" t="inlineStr">
        <is>
          <t>FIXED</t>
        </is>
      </c>
      <c r="J40" s="6" t="inlineStr">
        <is>
          <t>yes</t>
        </is>
      </c>
      <c r="K40" s="6" t="inlineStr"/>
    </row>
    <row r="41">
      <c r="A41" s="5" t="n">
        <v>46314</v>
      </c>
      <c r="B41" s="6" t="inlineStr">
        <is>
          <t>Mon</t>
        </is>
      </c>
      <c r="C41" s="6" t="inlineStr">
        <is>
          <t>Mortgage</t>
        </is>
      </c>
      <c r="D41" s="6" t="inlineStr">
        <is>
          <t>1 Secured/critical</t>
        </is>
      </c>
      <c r="E41" s="6" t="inlineStr">
        <is>
          <t>biweekly</t>
        </is>
      </c>
      <c r="F41" s="11" t="n">
        <v>1801.62</v>
      </c>
      <c r="G41" s="7" t="n">
        <v>1801.62</v>
      </c>
      <c r="H41" s="6" t="inlineStr">
        <is>
          <t>Stated amount</t>
        </is>
      </c>
      <c r="I41" s="12" t="inlineStr">
        <is>
          <t>FIXED</t>
        </is>
      </c>
      <c r="J41" s="6" t="inlineStr">
        <is>
          <t>no</t>
        </is>
      </c>
      <c r="K41" s="6" t="inlineStr"/>
    </row>
    <row r="42">
      <c r="A42" s="5" t="n">
        <v>46314</v>
      </c>
      <c r="B42" s="6" t="inlineStr">
        <is>
          <t>Mon</t>
        </is>
      </c>
      <c r="C42" s="6" t="inlineStr">
        <is>
          <t>IRS state</t>
        </is>
      </c>
      <c r="D42" s="6" t="inlineStr">
        <is>
          <t>2 Essential</t>
        </is>
      </c>
      <c r="E42" s="6" t="inlineStr">
        <is>
          <t>monthly</t>
        </is>
      </c>
      <c r="F42" s="11" t="n">
        <v>114</v>
      </c>
      <c r="G42" s="7" t="n">
        <v>114</v>
      </c>
      <c r="H42" s="6" t="inlineStr">
        <is>
          <t>Stated amount</t>
        </is>
      </c>
      <c r="I42" s="12" t="inlineStr">
        <is>
          <t>FIXED</t>
        </is>
      </c>
      <c r="J42" s="6" t="inlineStr">
        <is>
          <t>no</t>
        </is>
      </c>
      <c r="K42" s="6" t="inlineStr"/>
    </row>
    <row r="43">
      <c r="A43" s="5" t="n">
        <v>46314</v>
      </c>
      <c r="B43" s="6" t="inlineStr">
        <is>
          <t>Mon</t>
        </is>
      </c>
      <c r="C43" s="6" t="inlineStr">
        <is>
          <t>IRS federal</t>
        </is>
      </c>
      <c r="D43" s="6" t="inlineStr">
        <is>
          <t>2 Essential</t>
        </is>
      </c>
      <c r="E43" s="6" t="inlineStr">
        <is>
          <t>monthly</t>
        </is>
      </c>
      <c r="F43" s="11" t="n">
        <v>103</v>
      </c>
      <c r="G43" s="7" t="n">
        <v>103</v>
      </c>
      <c r="H43" s="6" t="inlineStr">
        <is>
          <t>Stated amount</t>
        </is>
      </c>
      <c r="I43" s="12" t="inlineStr">
        <is>
          <t>FIXED</t>
        </is>
      </c>
      <c r="J43" s="6" t="inlineStr">
        <is>
          <t>no</t>
        </is>
      </c>
      <c r="K43" s="6" t="inlineStr"/>
    </row>
    <row r="44">
      <c r="A44" s="5" t="n">
        <v>46317</v>
      </c>
      <c r="B44" s="6" t="inlineStr">
        <is>
          <t>Thu</t>
        </is>
      </c>
      <c r="C44" s="6" t="inlineStr">
        <is>
          <t>Chase CC United</t>
        </is>
      </c>
      <c r="D44" s="6" t="inlineStr">
        <is>
          <t>3 Required debt</t>
        </is>
      </c>
      <c r="E44" s="6" t="inlineStr">
        <is>
          <t>monthly</t>
        </is>
      </c>
      <c r="F44" s="11" t="n">
        <v>88</v>
      </c>
      <c r="G44" s="7" t="n">
        <v>46</v>
      </c>
      <c r="H44" s="14" t="inlineStr">
        <is>
          <t>SUPERSEDED - see notes</t>
        </is>
      </c>
      <c r="I44" s="6" t="inlineStr">
        <is>
          <t>UNKNOWN</t>
        </is>
      </c>
      <c r="J44" s="6" t="inlineStr">
        <is>
          <t>yes</t>
        </is>
      </c>
      <c r="K44" s="6" t="inlineStr">
        <is>
          <t>76.00 - 88.00</t>
        </is>
      </c>
    </row>
    <row r="45">
      <c r="A45" s="5" t="n">
        <v>46318</v>
      </c>
      <c r="B45" s="6" t="inlineStr">
        <is>
          <t>Fri</t>
        </is>
      </c>
      <c r="C45" s="6" t="inlineStr">
        <is>
          <t>Netflix</t>
        </is>
      </c>
      <c r="D45" s="6" t="inlineStr">
        <is>
          <t>5 Discretionary</t>
        </is>
      </c>
      <c r="E45" s="6" t="inlineStr">
        <is>
          <t>monthly</t>
        </is>
      </c>
      <c r="F45" s="11" t="n">
        <v>21.31</v>
      </c>
      <c r="G45" s="7" t="n">
        <v>21.31</v>
      </c>
      <c r="H45" s="6" t="inlineStr">
        <is>
          <t>Stated amount</t>
        </is>
      </c>
      <c r="I45" s="6" t="inlineStr">
        <is>
          <t>UNKNOWN</t>
        </is>
      </c>
      <c r="J45" s="6" t="inlineStr">
        <is>
          <t>yes</t>
        </is>
      </c>
      <c r="K45" s="6" t="inlineStr"/>
    </row>
    <row r="46">
      <c r="A46" s="5" t="n">
        <v>46319</v>
      </c>
      <c r="B46" s="6" t="inlineStr">
        <is>
          <t>Sat</t>
        </is>
      </c>
      <c r="C46" s="6" t="inlineStr">
        <is>
          <t>Kia</t>
        </is>
      </c>
      <c r="D46" s="6" t="inlineStr">
        <is>
          <t>1 Secured/critical</t>
        </is>
      </c>
      <c r="E46" s="6" t="inlineStr">
        <is>
          <t>monthly</t>
        </is>
      </c>
      <c r="F46" s="11" t="n">
        <v>742.65</v>
      </c>
      <c r="G46" s="7" t="n">
        <v>742.65</v>
      </c>
      <c r="H46" s="6" t="inlineStr">
        <is>
          <t>Stated amount</t>
        </is>
      </c>
      <c r="I46" s="12" t="inlineStr">
        <is>
          <t>FIXED</t>
        </is>
      </c>
      <c r="J46" s="6" t="inlineStr">
        <is>
          <t>yes</t>
        </is>
      </c>
      <c r="K46" s="6" t="inlineStr"/>
    </row>
    <row r="47">
      <c r="A47" s="5" t="n">
        <v>46319</v>
      </c>
      <c r="B47" s="6" t="inlineStr">
        <is>
          <t>Sat</t>
        </is>
      </c>
      <c r="C47" s="6" t="inlineStr">
        <is>
          <t>Upstart past bills (from Sep)</t>
        </is>
      </c>
      <c r="D47" s="6" t="inlineStr">
        <is>
          <t>3 Required debt</t>
        </is>
      </c>
      <c r="E47" s="6" t="inlineStr">
        <is>
          <t>monthly</t>
        </is>
      </c>
      <c r="F47" s="11" t="n">
        <v>337.61</v>
      </c>
      <c r="G47" s="7" t="n">
        <v>337.61</v>
      </c>
      <c r="H47" s="6" t="inlineStr">
        <is>
          <t>Stated amount</t>
        </is>
      </c>
      <c r="I47" s="12" t="inlineStr">
        <is>
          <t>FIXED</t>
        </is>
      </c>
      <c r="J47" s="6" t="inlineStr">
        <is>
          <t>yes</t>
        </is>
      </c>
      <c r="K47" s="6" t="inlineStr"/>
    </row>
    <row r="48">
      <c r="A48" s="5" t="n">
        <v>46320</v>
      </c>
      <c r="B48" s="6" t="inlineStr">
        <is>
          <t>Sun</t>
        </is>
      </c>
      <c r="C48" s="6" t="inlineStr">
        <is>
          <t>Groceries</t>
        </is>
      </c>
      <c r="D48" s="6" t="inlineStr">
        <is>
          <t>2 Essential</t>
        </is>
      </c>
      <c r="E48" s="6" t="inlineStr">
        <is>
          <t>weekly</t>
        </is>
      </c>
      <c r="F48" s="11" t="n">
        <v>319.09</v>
      </c>
      <c r="G48" s="7" t="n">
        <v>319.09</v>
      </c>
      <c r="H48" s="6" t="inlineStr">
        <is>
          <t>Stated amount</t>
        </is>
      </c>
      <c r="I48" s="12" t="inlineStr">
        <is>
          <t>FIXED</t>
        </is>
      </c>
      <c r="J48" s="6" t="inlineStr">
        <is>
          <t>no</t>
        </is>
      </c>
      <c r="K48" s="6" t="inlineStr">
        <is>
          <t>12.78 - 791.32</t>
        </is>
      </c>
    </row>
    <row r="49">
      <c r="A49" s="5" t="n">
        <v>46320</v>
      </c>
      <c r="B49" s="6" t="inlineStr">
        <is>
          <t>Sun</t>
        </is>
      </c>
      <c r="C49" s="6" t="inlineStr">
        <is>
          <t>Fuel</t>
        </is>
      </c>
      <c r="D49" s="6" t="inlineStr">
        <is>
          <t>2 Essential</t>
        </is>
      </c>
      <c r="E49" s="6" t="inlineStr">
        <is>
          <t>weekly</t>
        </is>
      </c>
      <c r="F49" s="11" t="n">
        <v>90.77</v>
      </c>
      <c r="G49" s="7" t="n">
        <v>90.77</v>
      </c>
      <c r="H49" s="6" t="inlineStr">
        <is>
          <t>Stated amount</t>
        </is>
      </c>
      <c r="I49" s="12" t="inlineStr">
        <is>
          <t>FIXED</t>
        </is>
      </c>
      <c r="J49" s="6" t="inlineStr">
        <is>
          <t>no</t>
        </is>
      </c>
      <c r="K49" s="6" t="inlineStr">
        <is>
          <t>20.00 - 447.12</t>
        </is>
      </c>
    </row>
    <row r="50">
      <c r="A50" s="5" t="n">
        <v>46322</v>
      </c>
      <c r="B50" s="6" t="inlineStr">
        <is>
          <t>Tue</t>
        </is>
      </c>
      <c r="C50" s="6" t="inlineStr">
        <is>
          <t>Barclay Old Navy</t>
        </is>
      </c>
      <c r="D50" s="6" t="inlineStr">
        <is>
          <t>3 Required debt</t>
        </is>
      </c>
      <c r="E50" s="6" t="inlineStr">
        <is>
          <t>monthly</t>
        </is>
      </c>
      <c r="F50" s="11" t="n">
        <v>84.78</v>
      </c>
      <c r="G50" s="7" t="n">
        <v>60.74</v>
      </c>
      <c r="H50" s="13" t="inlineStr">
        <is>
          <t>Forecast at worst seen</t>
        </is>
      </c>
      <c r="I50" s="6" t="inlineStr">
        <is>
          <t>UNKNOWN</t>
        </is>
      </c>
      <c r="J50" s="6" t="inlineStr">
        <is>
          <t>yes</t>
        </is>
      </c>
      <c r="K50" s="6" t="inlineStr">
        <is>
          <t>52.98 - 84.78</t>
        </is>
      </c>
    </row>
    <row r="51">
      <c r="A51" s="5" t="n">
        <v>46324</v>
      </c>
      <c r="B51" s="6" t="inlineStr">
        <is>
          <t>Thu</t>
        </is>
      </c>
      <c r="C51" s="6" t="inlineStr">
        <is>
          <t>Xfinity Mobile</t>
        </is>
      </c>
      <c r="D51" s="6" t="inlineStr">
        <is>
          <t>2 Essential</t>
        </is>
      </c>
      <c r="E51" s="6" t="inlineStr">
        <is>
          <t>monthly</t>
        </is>
      </c>
      <c r="F51" s="11" t="n">
        <v>88.81999999999999</v>
      </c>
      <c r="G51" s="7" t="n">
        <v>88.81999999999999</v>
      </c>
      <c r="H51" s="6" t="inlineStr">
        <is>
          <t>Stated amount</t>
        </is>
      </c>
      <c r="I51" s="6" t="inlineStr">
        <is>
          <t>UNKNOWN</t>
        </is>
      </c>
      <c r="J51" s="6" t="inlineStr">
        <is>
          <t>yes</t>
        </is>
      </c>
      <c r="K51" s="6" t="inlineStr"/>
    </row>
    <row r="52">
      <c r="A52" s="5" t="n">
        <v>46324</v>
      </c>
      <c r="B52" s="6" t="inlineStr">
        <is>
          <t>Thu</t>
        </is>
      </c>
      <c r="C52" s="6" t="inlineStr">
        <is>
          <t>Affirm</t>
        </is>
      </c>
      <c r="D52" s="6" t="inlineStr">
        <is>
          <t>3 Required debt</t>
        </is>
      </c>
      <c r="E52" s="6" t="inlineStr">
        <is>
          <t>monthly</t>
        </is>
      </c>
      <c r="F52" s="11" t="n">
        <v>73.06999999999999</v>
      </c>
      <c r="G52" s="7" t="n">
        <v>73.06999999999999</v>
      </c>
      <c r="H52" s="6" t="inlineStr">
        <is>
          <t>Stated amount</t>
        </is>
      </c>
      <c r="I52" s="6" t="inlineStr">
        <is>
          <t>UNKNOWN</t>
        </is>
      </c>
      <c r="J52" s="6" t="inlineStr">
        <is>
          <t>yes</t>
        </is>
      </c>
      <c r="K52" s="6" t="inlineStr"/>
    </row>
    <row r="53">
      <c r="A53" s="8" t="n"/>
      <c r="B53" s="8" t="n"/>
      <c r="C53" s="9" t="inlineStr">
        <is>
          <t>Total money out</t>
        </is>
      </c>
      <c r="D53" s="8" t="n"/>
      <c r="E53" s="8" t="n"/>
      <c r="F53" s="10">
        <f>SUM(F14:F52)</f>
        <v/>
      </c>
      <c r="G53" s="10">
        <f>SUM(G14:G52)</f>
        <v/>
      </c>
      <c r="H53" s="8" t="n"/>
      <c r="I53" s="8" t="n"/>
      <c r="J53" s="8" t="n"/>
      <c r="K53" s="8" t="n"/>
    </row>
    <row r="55">
      <c r="A55" s="3" t="inlineStr">
        <is>
          <t>MONTH SUMMARY</t>
        </is>
      </c>
    </row>
    <row r="56">
      <c r="C56" s="6" t="inlineStr">
        <is>
          <t>Money in</t>
        </is>
      </c>
      <c r="D56" s="15" t="n"/>
      <c r="E56" s="15" t="n"/>
      <c r="F56" s="16">
        <f>E10</f>
        <v/>
      </c>
    </row>
    <row r="57">
      <c r="C57" s="6" t="inlineStr">
        <is>
          <t>Money out (budget)</t>
        </is>
      </c>
      <c r="D57" s="15" t="n"/>
      <c r="E57" s="15" t="n"/>
      <c r="F57" s="16">
        <f>F53</f>
        <v/>
      </c>
    </row>
    <row r="58">
      <c r="C58" s="9" t="inlineStr">
        <is>
          <t>Net for the month</t>
        </is>
      </c>
      <c r="D58" s="8" t="n"/>
      <c r="E58" s="8" t="n"/>
      <c r="F58" s="10">
        <f>E10-F53</f>
        <v/>
      </c>
    </row>
    <row r="59">
      <c r="C59" s="6" t="inlineStr">
        <is>
          <t>Money out at stored amounts</t>
        </is>
      </c>
      <c r="D59" s="15" t="n"/>
      <c r="E59" s="15" t="n"/>
      <c r="F59" s="16">
        <f>G53</f>
        <v/>
      </c>
    </row>
    <row r="60">
      <c r="C60" s="6" t="inlineStr">
        <is>
          <t>Over-forecast vs stored</t>
        </is>
      </c>
      <c r="D60" s="15" t="n"/>
      <c r="E60" s="15" t="n"/>
      <c r="F60" s="16">
        <f>F53-G53</f>
        <v/>
      </c>
    </row>
    <row r="62">
      <c r="A62" s="3" t="inlineStr">
        <is>
          <t>NOTES AND ASSUMPTIONS</t>
        </is>
      </c>
    </row>
    <row r="63">
      <c r="A63" s="17" t="inlineStr">
        <is>
          <t>- INCOME SWITCHED OFF: Branchburg BOE payroll (2,829.31 biweekly) is recorded in income.json but NOT counted anywhere in this workbook. If it is actually being received, every monthly net figure here is understated by that amount.</t>
        </is>
      </c>
    </row>
    <row r="64">
      <c r="A64" s="17" t="inlineStr">
        <is>
          <t>- Budget vs Stored: 'Budget' is what the engine forecasts for that date; 'Stored' is the figure recorded in bills.json.</t>
        </is>
      </c>
    </row>
    <row r="65">
      <c r="A65" s="17" t="inlineStr">
        <is>
          <t>- Seasonal profile: gas and electric carry a month-of-year profile built from recent years of statements, so their budget figure changes every month. Neither figure is wrong.</t>
        </is>
      </c>
    </row>
    <row r="66">
      <c r="A66" s="17" t="inlineStr">
        <is>
          <t>- Forecast at worst seen: a variable bill landing monthly or less often is budgeted at the top of its observed range, deliberately, because under-forecasting an outflow is what causes an overdraft.</t>
        </is>
      </c>
    </row>
    <row r="67">
      <c r="A67" s="17" t="inlineStr">
        <is>
          <t>- SUPERSEDED: the engine is forecasting ABOVE an amount the household renegotiated, because the observed maximum predates the correction. Affects four cards and the water bill. This is a defect, not a rule - the Stored column is the agreed figure.</t>
        </is>
      </c>
    </row>
    <row r="68">
      <c r="A68" s="17" t="inlineStr">
        <is>
          <t>- Movability: FIXED means secured or recorded as non-deferrable. UNKNOWN means nothing records how late the payment may safely be, so no date change can be recommended without confirming it.</t>
        </is>
      </c>
    </row>
    <row r="69">
      <c r="A69" s="17" t="inlineStr">
        <is>
          <t>- Weekly items (groceries, fuel) appear once per occurrence, so a five-week month legitimately shows five rows.</t>
        </is>
      </c>
    </row>
    <row r="70">
      <c r="A70" s="17" t="inlineStr">
        <is>
          <t>- Excluded as ended or paid off, kept for history: Affirm large, Trilogy Lacrosse.</t>
        </is>
      </c>
    </row>
  </sheetData>
  <mergeCells count="10">
    <mergeCell ref="A69:K69"/>
    <mergeCell ref="A64:K64"/>
    <mergeCell ref="A65:K65"/>
    <mergeCell ref="A2:K2"/>
    <mergeCell ref="A63:K63"/>
    <mergeCell ref="A68:K68"/>
    <mergeCell ref="A66:K66"/>
    <mergeCell ref="A1:K1"/>
    <mergeCell ref="A70:K70"/>
    <mergeCell ref="A67:K67"/>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71"/>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November 2026</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46330</v>
      </c>
      <c r="B6" s="6" t="inlineStr">
        <is>
          <t>Wed</t>
        </is>
      </c>
      <c r="C6" s="6" t="inlineStr">
        <is>
          <t>Insight Global payroll</t>
        </is>
      </c>
      <c r="D6" s="6" t="inlineStr">
        <is>
          <t>weekly</t>
        </is>
      </c>
      <c r="E6" s="7" t="n">
        <v>2016.06</v>
      </c>
      <c r="F6" s="6" t="inlineStr">
        <is>
          <t>UNVERIFIED - flagged needs_review</t>
        </is>
      </c>
    </row>
    <row r="7">
      <c r="A7" s="5" t="n">
        <v>46337</v>
      </c>
      <c r="B7" s="6" t="inlineStr">
        <is>
          <t>Wed</t>
        </is>
      </c>
      <c r="C7" s="6" t="inlineStr">
        <is>
          <t>Insight Global payroll</t>
        </is>
      </c>
      <c r="D7" s="6" t="inlineStr">
        <is>
          <t>weekly</t>
        </is>
      </c>
      <c r="E7" s="7" t="n">
        <v>2016.06</v>
      </c>
      <c r="F7" s="6" t="inlineStr">
        <is>
          <t>UNVERIFIED - flagged needs_review</t>
        </is>
      </c>
    </row>
    <row r="8">
      <c r="A8" s="5" t="n">
        <v>46344</v>
      </c>
      <c r="B8" s="6" t="inlineStr">
        <is>
          <t>Wed</t>
        </is>
      </c>
      <c r="C8" s="6" t="inlineStr">
        <is>
          <t>Insight Global payroll</t>
        </is>
      </c>
      <c r="D8" s="6" t="inlineStr">
        <is>
          <t>weekly</t>
        </is>
      </c>
      <c r="E8" s="7" t="n">
        <v>2016.06</v>
      </c>
      <c r="F8" s="6" t="inlineStr">
        <is>
          <t>UNVERIFIED - flagged needs_review</t>
        </is>
      </c>
    </row>
    <row r="9">
      <c r="A9" s="5" t="n">
        <v>46351</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46327</v>
      </c>
      <c r="B14" s="6" t="inlineStr">
        <is>
          <t>Sun</t>
        </is>
      </c>
      <c r="C14" s="6" t="inlineStr">
        <is>
          <t>Groceries</t>
        </is>
      </c>
      <c r="D14" s="6" t="inlineStr">
        <is>
          <t>2 Essential</t>
        </is>
      </c>
      <c r="E14" s="6" t="inlineStr">
        <is>
          <t>weekly</t>
        </is>
      </c>
      <c r="F14" s="11" t="n">
        <v>319.09</v>
      </c>
      <c r="G14" s="7" t="n">
        <v>319.09</v>
      </c>
      <c r="H14" s="6" t="inlineStr">
        <is>
          <t>Stated amount</t>
        </is>
      </c>
      <c r="I14" s="12" t="inlineStr">
        <is>
          <t>FIXED</t>
        </is>
      </c>
      <c r="J14" s="6" t="inlineStr">
        <is>
          <t>no</t>
        </is>
      </c>
      <c r="K14" s="6" t="inlineStr">
        <is>
          <t>12.78 - 791.32</t>
        </is>
      </c>
    </row>
    <row r="15">
      <c r="A15" s="5" t="n">
        <v>46327</v>
      </c>
      <c r="B15" s="6" t="inlineStr">
        <is>
          <t>Sun</t>
        </is>
      </c>
      <c r="C15" s="6" t="inlineStr">
        <is>
          <t>Fuel</t>
        </is>
      </c>
      <c r="D15" s="6" t="inlineStr">
        <is>
          <t>2 Essential</t>
        </is>
      </c>
      <c r="E15" s="6" t="inlineStr">
        <is>
          <t>weekly</t>
        </is>
      </c>
      <c r="F15" s="11" t="n">
        <v>90.77</v>
      </c>
      <c r="G15" s="7" t="n">
        <v>90.77</v>
      </c>
      <c r="H15" s="6" t="inlineStr">
        <is>
          <t>Stated amount</t>
        </is>
      </c>
      <c r="I15" s="12" t="inlineStr">
        <is>
          <t>FIXED</t>
        </is>
      </c>
      <c r="J15" s="6" t="inlineStr">
        <is>
          <t>no</t>
        </is>
      </c>
      <c r="K15" s="6" t="inlineStr">
        <is>
          <t>20.00 - 447.12</t>
        </is>
      </c>
    </row>
    <row r="16">
      <c r="A16" s="5" t="n">
        <v>46328</v>
      </c>
      <c r="B16" s="6" t="inlineStr">
        <is>
          <t>Mon</t>
        </is>
      </c>
      <c r="C16" s="6" t="inlineStr">
        <is>
          <t>Mortgage</t>
        </is>
      </c>
      <c r="D16" s="6" t="inlineStr">
        <is>
          <t>1 Secured/critical</t>
        </is>
      </c>
      <c r="E16" s="6" t="inlineStr">
        <is>
          <t>biweekly</t>
        </is>
      </c>
      <c r="F16" s="11" t="n">
        <v>1801.62</v>
      </c>
      <c r="G16" s="7" t="n">
        <v>1801.62</v>
      </c>
      <c r="H16" s="6" t="inlineStr">
        <is>
          <t>Stated amount</t>
        </is>
      </c>
      <c r="I16" s="12" t="inlineStr">
        <is>
          <t>FIXED</t>
        </is>
      </c>
      <c r="J16" s="6" t="inlineStr">
        <is>
          <t>no</t>
        </is>
      </c>
      <c r="K16" s="6" t="inlineStr"/>
    </row>
    <row r="17">
      <c r="A17" s="5" t="n">
        <v>46329</v>
      </c>
      <c r="B17" s="6" t="inlineStr">
        <is>
          <t>Tue</t>
        </is>
      </c>
      <c r="C17" s="6" t="inlineStr">
        <is>
          <t>JCP&amp;L / FirstEnergy</t>
        </is>
      </c>
      <c r="D17" s="6" t="inlineStr">
        <is>
          <t>2 Essential</t>
        </is>
      </c>
      <c r="E17" s="6" t="inlineStr">
        <is>
          <t>monthly</t>
        </is>
      </c>
      <c r="F17" s="11" t="n">
        <v>142.21</v>
      </c>
      <c r="G17" s="7" t="n">
        <v>418.98</v>
      </c>
      <c r="H17" s="6" t="inlineStr">
        <is>
          <t>Seasonal profile</t>
        </is>
      </c>
      <c r="I17" s="12" t="inlineStr">
        <is>
          <t>FIXED</t>
        </is>
      </c>
      <c r="J17" s="6" t="inlineStr">
        <is>
          <t>no</t>
        </is>
      </c>
      <c r="K17" s="6" t="inlineStr">
        <is>
          <t>130.28 - 489.87</t>
        </is>
      </c>
    </row>
    <row r="18">
      <c r="A18" s="5" t="n">
        <v>46330</v>
      </c>
      <c r="B18" s="6" t="inlineStr">
        <is>
          <t>Wed</t>
        </is>
      </c>
      <c r="C18" s="6" t="inlineStr">
        <is>
          <t>Culligan</t>
        </is>
      </c>
      <c r="D18" s="6" t="inlineStr">
        <is>
          <t>5 Discretionary</t>
        </is>
      </c>
      <c r="E18" s="6" t="inlineStr">
        <is>
          <t>monthly</t>
        </is>
      </c>
      <c r="F18" s="11" t="n">
        <v>307.7</v>
      </c>
      <c r="G18" s="7" t="n">
        <v>40.39</v>
      </c>
      <c r="H18" s="13" t="inlineStr">
        <is>
          <t>Forecast at worst seen</t>
        </is>
      </c>
      <c r="I18" s="6" t="inlineStr">
        <is>
          <t>UNKNOWN</t>
        </is>
      </c>
      <c r="J18" s="6" t="inlineStr">
        <is>
          <t>no</t>
        </is>
      </c>
      <c r="K18" s="6" t="inlineStr">
        <is>
          <t>40.39 - 307.70</t>
        </is>
      </c>
    </row>
    <row r="19">
      <c r="A19" s="5" t="n">
        <v>46330</v>
      </c>
      <c r="B19" s="6" t="inlineStr">
        <is>
          <t>Wed</t>
        </is>
      </c>
      <c r="C19" s="6" t="inlineStr">
        <is>
          <t>TJX Rewards</t>
        </is>
      </c>
      <c r="D19" s="6" t="inlineStr">
        <is>
          <t>5 Discretionary</t>
        </is>
      </c>
      <c r="E19" s="6" t="inlineStr">
        <is>
          <t>monthly</t>
        </is>
      </c>
      <c r="F19" s="11" t="n">
        <v>36</v>
      </c>
      <c r="G19" s="7" t="n">
        <v>36</v>
      </c>
      <c r="H19" s="6" t="inlineStr">
        <is>
          <t>Stated amount</t>
        </is>
      </c>
      <c r="I19" s="6" t="inlineStr">
        <is>
          <t>UNKNOWN</t>
        </is>
      </c>
      <c r="J19" s="6" t="inlineStr">
        <is>
          <t>yes</t>
        </is>
      </c>
      <c r="K19" s="6" t="inlineStr"/>
    </row>
    <row r="20">
      <c r="A20" s="5" t="n">
        <v>46332</v>
      </c>
      <c r="B20" s="6" t="inlineStr">
        <is>
          <t>Fri</t>
        </is>
      </c>
      <c r="C20" s="6" t="inlineStr">
        <is>
          <t>One Main loan</t>
        </is>
      </c>
      <c r="D20" s="6" t="inlineStr">
        <is>
          <t>3 Required debt</t>
        </is>
      </c>
      <c r="E20" s="6" t="inlineStr">
        <is>
          <t>monthly</t>
        </is>
      </c>
      <c r="F20" s="11" t="n">
        <v>388.24</v>
      </c>
      <c r="G20" s="7" t="n">
        <v>388.24</v>
      </c>
      <c r="H20" s="6" t="inlineStr">
        <is>
          <t>Stated amount</t>
        </is>
      </c>
      <c r="I20" s="12" t="inlineStr">
        <is>
          <t>FIXED</t>
        </is>
      </c>
      <c r="J20" s="6" t="inlineStr">
        <is>
          <t>yes</t>
        </is>
      </c>
      <c r="K20" s="6" t="inlineStr"/>
    </row>
    <row r="21">
      <c r="A21" s="5" t="n">
        <v>46334</v>
      </c>
      <c r="B21" s="6" t="inlineStr">
        <is>
          <t>Sun</t>
        </is>
      </c>
      <c r="C21" s="6" t="inlineStr">
        <is>
          <t>Groceries</t>
        </is>
      </c>
      <c r="D21" s="6" t="inlineStr">
        <is>
          <t>2 Essential</t>
        </is>
      </c>
      <c r="E21" s="6" t="inlineStr">
        <is>
          <t>weekly</t>
        </is>
      </c>
      <c r="F21" s="11" t="n">
        <v>319.09</v>
      </c>
      <c r="G21" s="7" t="n">
        <v>319.09</v>
      </c>
      <c r="H21" s="6" t="inlineStr">
        <is>
          <t>Stated amount</t>
        </is>
      </c>
      <c r="I21" s="12" t="inlineStr">
        <is>
          <t>FIXED</t>
        </is>
      </c>
      <c r="J21" s="6" t="inlineStr">
        <is>
          <t>no</t>
        </is>
      </c>
      <c r="K21" s="6" t="inlineStr">
        <is>
          <t>12.78 - 791.32</t>
        </is>
      </c>
    </row>
    <row r="22">
      <c r="A22" s="5" t="n">
        <v>46334</v>
      </c>
      <c r="B22" s="6" t="inlineStr">
        <is>
          <t>Sun</t>
        </is>
      </c>
      <c r="C22" s="6" t="inlineStr">
        <is>
          <t>PNC</t>
        </is>
      </c>
      <c r="D22" s="6" t="inlineStr">
        <is>
          <t>3 Required debt</t>
        </is>
      </c>
      <c r="E22" s="6" t="inlineStr">
        <is>
          <t>monthly</t>
        </is>
      </c>
      <c r="F22" s="11" t="n">
        <v>150</v>
      </c>
      <c r="G22" s="7" t="n">
        <v>70</v>
      </c>
      <c r="H22" s="13" t="inlineStr">
        <is>
          <t>Forecast at worst seen</t>
        </is>
      </c>
      <c r="I22" s="6" t="inlineStr">
        <is>
          <t>UNKNOWN</t>
        </is>
      </c>
      <c r="J22" s="6" t="inlineStr">
        <is>
          <t>no</t>
        </is>
      </c>
      <c r="K22" s="6" t="inlineStr">
        <is>
          <t>70.00 - 150.00</t>
        </is>
      </c>
    </row>
    <row r="23">
      <c r="A23" s="5" t="n">
        <v>46334</v>
      </c>
      <c r="B23" s="6" t="inlineStr">
        <is>
          <t>Sun</t>
        </is>
      </c>
      <c r="C23" s="6" t="inlineStr">
        <is>
          <t>Fuel</t>
        </is>
      </c>
      <c r="D23" s="6" t="inlineStr">
        <is>
          <t>2 Essential</t>
        </is>
      </c>
      <c r="E23" s="6" t="inlineStr">
        <is>
          <t>weekly</t>
        </is>
      </c>
      <c r="F23" s="11" t="n">
        <v>90.77</v>
      </c>
      <c r="G23" s="7" t="n">
        <v>90.77</v>
      </c>
      <c r="H23" s="6" t="inlineStr">
        <is>
          <t>Stated amount</t>
        </is>
      </c>
      <c r="I23" s="12" t="inlineStr">
        <is>
          <t>FIXED</t>
        </is>
      </c>
      <c r="J23" s="6" t="inlineStr">
        <is>
          <t>no</t>
        </is>
      </c>
      <c r="K23" s="6" t="inlineStr">
        <is>
          <t>20.00 - 447.12</t>
        </is>
      </c>
    </row>
    <row r="24">
      <c r="A24" s="5" t="n">
        <v>46337</v>
      </c>
      <c r="B24" s="6" t="inlineStr">
        <is>
          <t>Wed</t>
        </is>
      </c>
      <c r="C24" s="6" t="inlineStr">
        <is>
          <t>Elizabethtown Gas</t>
        </is>
      </c>
      <c r="D24" s="6" t="inlineStr">
        <is>
          <t>2 Essential</t>
        </is>
      </c>
      <c r="E24" s="6" t="inlineStr">
        <is>
          <t>monthly</t>
        </is>
      </c>
      <c r="F24" s="11" t="n">
        <v>84.34999999999999</v>
      </c>
      <c r="G24" s="7" t="n">
        <v>54.03</v>
      </c>
      <c r="H24" s="6" t="inlineStr">
        <is>
          <t>Seasonal profile</t>
        </is>
      </c>
      <c r="I24" s="12" t="inlineStr">
        <is>
          <t>FIXED</t>
        </is>
      </c>
      <c r="J24" s="6" t="inlineStr">
        <is>
          <t>no</t>
        </is>
      </c>
      <c r="K24" s="6" t="inlineStr">
        <is>
          <t>54.03 - 550.83</t>
        </is>
      </c>
    </row>
    <row r="25">
      <c r="A25" s="5" t="n">
        <v>46337</v>
      </c>
      <c r="B25" s="6" t="inlineStr">
        <is>
          <t>Wed</t>
        </is>
      </c>
      <c r="C25" s="6" t="inlineStr">
        <is>
          <t>T-Mobile Lia</t>
        </is>
      </c>
      <c r="D25" s="6" t="inlineStr">
        <is>
          <t>2 Essential</t>
        </is>
      </c>
      <c r="E25" s="6" t="inlineStr">
        <is>
          <t>monthly</t>
        </is>
      </c>
      <c r="F25" s="11" t="n">
        <v>20.75</v>
      </c>
      <c r="G25" s="7" t="n">
        <v>20.75</v>
      </c>
      <c r="H25" s="6" t="inlineStr">
        <is>
          <t>Stated amount</t>
        </is>
      </c>
      <c r="I25" s="6" t="inlineStr">
        <is>
          <t>UNKNOWN</t>
        </is>
      </c>
      <c r="J25" s="6" t="inlineStr">
        <is>
          <t>yes</t>
        </is>
      </c>
      <c r="K25" s="6" t="inlineStr"/>
    </row>
    <row r="26">
      <c r="A26" s="5" t="n">
        <v>46338</v>
      </c>
      <c r="B26" s="6" t="inlineStr">
        <is>
          <t>Thu</t>
        </is>
      </c>
      <c r="C26" s="6" t="inlineStr">
        <is>
          <t>Hanover Auto</t>
        </is>
      </c>
      <c r="D26" s="6" t="inlineStr">
        <is>
          <t>2 Essential</t>
        </is>
      </c>
      <c r="E26" s="6" t="inlineStr">
        <is>
          <t>monthly</t>
        </is>
      </c>
      <c r="F26" s="11" t="n">
        <v>513.27</v>
      </c>
      <c r="G26" s="7" t="n">
        <v>513.27</v>
      </c>
      <c r="H26" s="6" t="inlineStr">
        <is>
          <t>Stated amount</t>
        </is>
      </c>
      <c r="I26" s="12" t="inlineStr">
        <is>
          <t>FIXED</t>
        </is>
      </c>
      <c r="J26" s="6" t="inlineStr">
        <is>
          <t>no</t>
        </is>
      </c>
      <c r="K26" s="6" t="inlineStr"/>
    </row>
    <row r="27">
      <c r="A27" s="5" t="n">
        <v>46338</v>
      </c>
      <c r="B27" s="6" t="inlineStr">
        <is>
          <t>Thu</t>
        </is>
      </c>
      <c r="C27" s="6" t="inlineStr">
        <is>
          <t>Comenity</t>
        </is>
      </c>
      <c r="D27" s="6" t="inlineStr">
        <is>
          <t>3 Required debt</t>
        </is>
      </c>
      <c r="E27" s="6" t="inlineStr">
        <is>
          <t>monthly</t>
        </is>
      </c>
      <c r="F27" s="11" t="n">
        <v>65</v>
      </c>
      <c r="G27" s="7" t="n">
        <v>50</v>
      </c>
      <c r="H27" s="13" t="inlineStr">
        <is>
          <t>Forecast at worst seen</t>
        </is>
      </c>
      <c r="I27" s="6" t="inlineStr">
        <is>
          <t>UNKNOWN</t>
        </is>
      </c>
      <c r="J27" s="6" t="inlineStr">
        <is>
          <t>no</t>
        </is>
      </c>
      <c r="K27" s="6" t="inlineStr">
        <is>
          <t>40.00 - 65.00</t>
        </is>
      </c>
    </row>
    <row r="28">
      <c r="A28" s="5" t="n">
        <v>46340</v>
      </c>
      <c r="B28" s="6" t="inlineStr">
        <is>
          <t>Sat</t>
        </is>
      </c>
      <c r="C28" s="6" t="inlineStr">
        <is>
          <t>Home Depot</t>
        </is>
      </c>
      <c r="D28" s="6" t="inlineStr">
        <is>
          <t>5 Discretionary</t>
        </is>
      </c>
      <c r="E28" s="6" t="inlineStr">
        <is>
          <t>monthly</t>
        </is>
      </c>
      <c r="F28" s="11" t="n">
        <v>100</v>
      </c>
      <c r="G28" s="7" t="n">
        <v>100</v>
      </c>
      <c r="H28" s="6" t="inlineStr">
        <is>
          <t>Stated amount</t>
        </is>
      </c>
      <c r="I28" s="6" t="inlineStr">
        <is>
          <t>UNKNOWN</t>
        </is>
      </c>
      <c r="J28" s="6" t="inlineStr">
        <is>
          <t>yes</t>
        </is>
      </c>
      <c r="K28" s="6" t="inlineStr">
        <is>
          <t>32.70 - 100.00</t>
        </is>
      </c>
    </row>
    <row r="29">
      <c r="A29" s="5" t="n">
        <v>46341</v>
      </c>
      <c r="B29" s="6" t="inlineStr">
        <is>
          <t>Sun</t>
        </is>
      </c>
      <c r="C29" s="6" t="inlineStr">
        <is>
          <t>Loew &amp; Patel braces</t>
        </is>
      </c>
      <c r="D29" s="6" t="inlineStr">
        <is>
          <t>4 Scheduled</t>
        </is>
      </c>
      <c r="E29" s="6" t="inlineStr">
        <is>
          <t>monthly</t>
        </is>
      </c>
      <c r="F29" s="11" t="n">
        <v>400</v>
      </c>
      <c r="G29" s="7" t="n">
        <v>400</v>
      </c>
      <c r="H29" s="6" t="inlineStr">
        <is>
          <t>Stated amount</t>
        </is>
      </c>
      <c r="I29" s="6" t="inlineStr">
        <is>
          <t>UNKNOWN</t>
        </is>
      </c>
      <c r="J29" s="6" t="inlineStr">
        <is>
          <t>no</t>
        </is>
      </c>
      <c r="K29" s="6" t="inlineStr">
        <is>
          <t>15.00 - 0.00</t>
        </is>
      </c>
    </row>
    <row r="30">
      <c r="A30" s="5" t="n">
        <v>46341</v>
      </c>
      <c r="B30" s="6" t="inlineStr">
        <is>
          <t>Sun</t>
        </is>
      </c>
      <c r="C30" s="6" t="inlineStr">
        <is>
          <t>Groceries</t>
        </is>
      </c>
      <c r="D30" s="6" t="inlineStr">
        <is>
          <t>2 Essential</t>
        </is>
      </c>
      <c r="E30" s="6" t="inlineStr">
        <is>
          <t>weekly</t>
        </is>
      </c>
      <c r="F30" s="11" t="n">
        <v>319.09</v>
      </c>
      <c r="G30" s="7" t="n">
        <v>319.09</v>
      </c>
      <c r="H30" s="6" t="inlineStr">
        <is>
          <t>Stated amount</t>
        </is>
      </c>
      <c r="I30" s="12" t="inlineStr">
        <is>
          <t>FIXED</t>
        </is>
      </c>
      <c r="J30" s="6" t="inlineStr">
        <is>
          <t>no</t>
        </is>
      </c>
      <c r="K30" s="6" t="inlineStr">
        <is>
          <t>12.78 - 791.32</t>
        </is>
      </c>
    </row>
    <row r="31">
      <c r="A31" s="5" t="n">
        <v>46341</v>
      </c>
      <c r="B31" s="6" t="inlineStr">
        <is>
          <t>Sun</t>
        </is>
      </c>
      <c r="C31" s="6" t="inlineStr">
        <is>
          <t>Upstart debt consol</t>
        </is>
      </c>
      <c r="D31" s="6" t="inlineStr">
        <is>
          <t>3 Required debt</t>
        </is>
      </c>
      <c r="E31" s="6" t="inlineStr">
        <is>
          <t>monthly</t>
        </is>
      </c>
      <c r="F31" s="11" t="n">
        <v>161</v>
      </c>
      <c r="G31" s="7" t="n">
        <v>161</v>
      </c>
      <c r="H31" s="6" t="inlineStr">
        <is>
          <t>Stated amount</t>
        </is>
      </c>
      <c r="I31" s="12" t="inlineStr">
        <is>
          <t>FIXED</t>
        </is>
      </c>
      <c r="J31" s="6" t="inlineStr">
        <is>
          <t>yes</t>
        </is>
      </c>
      <c r="K31" s="6" t="inlineStr"/>
    </row>
    <row r="32">
      <c r="A32" s="5" t="n">
        <v>46341</v>
      </c>
      <c r="B32" s="6" t="inlineStr">
        <is>
          <t>Sun</t>
        </is>
      </c>
      <c r="C32" s="6" t="inlineStr">
        <is>
          <t>Fuel</t>
        </is>
      </c>
      <c r="D32" s="6" t="inlineStr">
        <is>
          <t>2 Essential</t>
        </is>
      </c>
      <c r="E32" s="6" t="inlineStr">
        <is>
          <t>weekly</t>
        </is>
      </c>
      <c r="F32" s="11" t="n">
        <v>90.77</v>
      </c>
      <c r="G32" s="7" t="n">
        <v>90.77</v>
      </c>
      <c r="H32" s="6" t="inlineStr">
        <is>
          <t>Stated amount</t>
        </is>
      </c>
      <c r="I32" s="12" t="inlineStr">
        <is>
          <t>FIXED</t>
        </is>
      </c>
      <c r="J32" s="6" t="inlineStr">
        <is>
          <t>no</t>
        </is>
      </c>
      <c r="K32" s="6" t="inlineStr">
        <is>
          <t>20.00 - 447.12</t>
        </is>
      </c>
    </row>
    <row r="33">
      <c r="A33" s="5" t="n">
        <v>46342</v>
      </c>
      <c r="B33" s="6" t="inlineStr">
        <is>
          <t>Mon</t>
        </is>
      </c>
      <c r="C33" s="6" t="inlineStr">
        <is>
          <t>Mortgage</t>
        </is>
      </c>
      <c r="D33" s="6" t="inlineStr">
        <is>
          <t>1 Secured/critical</t>
        </is>
      </c>
      <c r="E33" s="6" t="inlineStr">
        <is>
          <t>biweekly</t>
        </is>
      </c>
      <c r="F33" s="11" t="n">
        <v>1801.62</v>
      </c>
      <c r="G33" s="7" t="n">
        <v>1801.62</v>
      </c>
      <c r="H33" s="6" t="inlineStr">
        <is>
          <t>Stated amount</t>
        </is>
      </c>
      <c r="I33" s="12" t="inlineStr">
        <is>
          <t>FIXED</t>
        </is>
      </c>
      <c r="J33" s="6" t="inlineStr">
        <is>
          <t>no</t>
        </is>
      </c>
      <c r="K33" s="6" t="inlineStr"/>
    </row>
    <row r="34">
      <c r="A34" s="5" t="n">
        <v>46343</v>
      </c>
      <c r="B34" s="6" t="inlineStr">
        <is>
          <t>Tue</t>
        </is>
      </c>
      <c r="C34" s="6" t="inlineStr">
        <is>
          <t>Capital One CC</t>
        </is>
      </c>
      <c r="D34" s="6" t="inlineStr">
        <is>
          <t>3 Required debt</t>
        </is>
      </c>
      <c r="E34" s="6" t="inlineStr">
        <is>
          <t>monthly</t>
        </is>
      </c>
      <c r="F34" s="11" t="n">
        <v>163</v>
      </c>
      <c r="G34" s="7" t="n">
        <v>105</v>
      </c>
      <c r="H34" s="14" t="inlineStr">
        <is>
          <t>SUPERSEDED - see notes</t>
        </is>
      </c>
      <c r="I34" s="6" t="inlineStr">
        <is>
          <t>UNKNOWN</t>
        </is>
      </c>
      <c r="J34" s="6" t="inlineStr">
        <is>
          <t>yes</t>
        </is>
      </c>
      <c r="K34" s="6" t="inlineStr">
        <is>
          <t>154.00 - 163.00</t>
        </is>
      </c>
    </row>
    <row r="35">
      <c r="A35" s="5" t="n">
        <v>46343</v>
      </c>
      <c r="B35" s="6" t="inlineStr">
        <is>
          <t>Tue</t>
        </is>
      </c>
      <c r="C35" s="6" t="inlineStr">
        <is>
          <t>Chase CC Amazon</t>
        </is>
      </c>
      <c r="D35" s="6" t="inlineStr">
        <is>
          <t>3 Required debt</t>
        </is>
      </c>
      <c r="E35" s="6" t="inlineStr">
        <is>
          <t>monthly</t>
        </is>
      </c>
      <c r="F35" s="11" t="n">
        <v>136</v>
      </c>
      <c r="G35" s="7" t="n">
        <v>80</v>
      </c>
      <c r="H35" s="14" t="inlineStr">
        <is>
          <t>SUPERSEDED - see notes</t>
        </is>
      </c>
      <c r="I35" s="6" t="inlineStr">
        <is>
          <t>UNKNOWN</t>
        </is>
      </c>
      <c r="J35" s="6" t="inlineStr">
        <is>
          <t>yes</t>
        </is>
      </c>
      <c r="K35" s="6" t="inlineStr">
        <is>
          <t>124.00 - 136.00</t>
        </is>
      </c>
    </row>
    <row r="36">
      <c r="A36" s="5" t="n">
        <v>46344</v>
      </c>
      <c r="B36" s="6" t="inlineStr">
        <is>
          <t>Wed</t>
        </is>
      </c>
      <c r="C36" s="6" t="inlineStr">
        <is>
          <t>CCU car loan</t>
        </is>
      </c>
      <c r="D36" s="6" t="inlineStr">
        <is>
          <t>1 Secured/critical</t>
        </is>
      </c>
      <c r="E36" s="6" t="inlineStr">
        <is>
          <t>monthly</t>
        </is>
      </c>
      <c r="F36" s="11" t="n">
        <v>306.9</v>
      </c>
      <c r="G36" s="7" t="n">
        <v>306.9</v>
      </c>
      <c r="H36" s="6" t="inlineStr">
        <is>
          <t>Stated amount</t>
        </is>
      </c>
      <c r="I36" s="12" t="inlineStr">
        <is>
          <t>FIXED</t>
        </is>
      </c>
      <c r="J36" s="6" t="inlineStr">
        <is>
          <t>yes</t>
        </is>
      </c>
      <c r="K36" s="6" t="inlineStr"/>
    </row>
    <row r="37">
      <c r="A37" s="5" t="n">
        <v>46344</v>
      </c>
      <c r="B37" s="6" t="inlineStr">
        <is>
          <t>Wed</t>
        </is>
      </c>
      <c r="C37" s="6" t="inlineStr">
        <is>
          <t>Comcast</t>
        </is>
      </c>
      <c r="D37" s="6" t="inlineStr">
        <is>
          <t>2 Essential</t>
        </is>
      </c>
      <c r="E37" s="6" t="inlineStr">
        <is>
          <t>monthly</t>
        </is>
      </c>
      <c r="F37" s="11" t="n">
        <v>138.93</v>
      </c>
      <c r="G37" s="7" t="n">
        <v>138.93</v>
      </c>
      <c r="H37" s="6" t="inlineStr">
        <is>
          <t>Stated amount</t>
        </is>
      </c>
      <c r="I37" s="6" t="inlineStr">
        <is>
          <t>UNKNOWN</t>
        </is>
      </c>
      <c r="J37" s="6" t="inlineStr">
        <is>
          <t>yes</t>
        </is>
      </c>
      <c r="K37" s="6" t="inlineStr"/>
    </row>
    <row r="38">
      <c r="A38" s="5" t="n">
        <v>46344</v>
      </c>
      <c r="B38" s="6" t="inlineStr">
        <is>
          <t>Wed</t>
        </is>
      </c>
      <c r="C38" s="6" t="inlineStr">
        <is>
          <t>Lowes</t>
        </is>
      </c>
      <c r="D38" s="6" t="inlineStr">
        <is>
          <t>5 Discretionary</t>
        </is>
      </c>
      <c r="E38" s="6" t="inlineStr">
        <is>
          <t>monthly</t>
        </is>
      </c>
      <c r="F38" s="11" t="n">
        <v>126</v>
      </c>
      <c r="G38" s="7" t="n">
        <v>69</v>
      </c>
      <c r="H38" s="14" t="inlineStr">
        <is>
          <t>SUPERSEDED - see notes</t>
        </is>
      </c>
      <c r="I38" s="6" t="inlineStr">
        <is>
          <t>UNKNOWN</t>
        </is>
      </c>
      <c r="J38" s="6" t="inlineStr">
        <is>
          <t>yes</t>
        </is>
      </c>
      <c r="K38" s="6" t="inlineStr">
        <is>
          <t>122.00 - 126.00</t>
        </is>
      </c>
    </row>
    <row r="39">
      <c r="A39" s="5" t="n">
        <v>46344</v>
      </c>
      <c r="B39" s="6" t="inlineStr">
        <is>
          <t>Wed</t>
        </is>
      </c>
      <c r="C39" s="6" t="inlineStr">
        <is>
          <t>Upgrade basement</t>
        </is>
      </c>
      <c r="D39" s="6" t="inlineStr">
        <is>
          <t>3 Required debt</t>
        </is>
      </c>
      <c r="E39" s="6" t="inlineStr">
        <is>
          <t>monthly</t>
        </is>
      </c>
      <c r="F39" s="11" t="n">
        <v>86.36</v>
      </c>
      <c r="G39" s="7" t="n">
        <v>86.36</v>
      </c>
      <c r="H39" s="6" t="inlineStr">
        <is>
          <t>Stated amount</t>
        </is>
      </c>
      <c r="I39" s="12" t="inlineStr">
        <is>
          <t>FIXED</t>
        </is>
      </c>
      <c r="J39" s="6" t="inlineStr">
        <is>
          <t>yes</t>
        </is>
      </c>
      <c r="K39" s="6" t="inlineStr"/>
    </row>
    <row r="40">
      <c r="A40" s="5" t="n">
        <v>46345</v>
      </c>
      <c r="B40" s="6" t="inlineStr">
        <is>
          <t>Thu</t>
        </is>
      </c>
      <c r="C40" s="6" t="inlineStr">
        <is>
          <t>IRS state</t>
        </is>
      </c>
      <c r="D40" s="6" t="inlineStr">
        <is>
          <t>2 Essential</t>
        </is>
      </c>
      <c r="E40" s="6" t="inlineStr">
        <is>
          <t>monthly</t>
        </is>
      </c>
      <c r="F40" s="11" t="n">
        <v>114</v>
      </c>
      <c r="G40" s="7" t="n">
        <v>114</v>
      </c>
      <c r="H40" s="6" t="inlineStr">
        <is>
          <t>Stated amount</t>
        </is>
      </c>
      <c r="I40" s="12" t="inlineStr">
        <is>
          <t>FIXED</t>
        </is>
      </c>
      <c r="J40" s="6" t="inlineStr">
        <is>
          <t>no</t>
        </is>
      </c>
      <c r="K40" s="6" t="inlineStr"/>
    </row>
    <row r="41">
      <c r="A41" s="5" t="n">
        <v>46345</v>
      </c>
      <c r="B41" s="6" t="inlineStr">
        <is>
          <t>Thu</t>
        </is>
      </c>
      <c r="C41" s="6" t="inlineStr">
        <is>
          <t>IRS federal</t>
        </is>
      </c>
      <c r="D41" s="6" t="inlineStr">
        <is>
          <t>2 Essential</t>
        </is>
      </c>
      <c r="E41" s="6" t="inlineStr">
        <is>
          <t>monthly</t>
        </is>
      </c>
      <c r="F41" s="11" t="n">
        <v>103</v>
      </c>
      <c r="G41" s="7" t="n">
        <v>103</v>
      </c>
      <c r="H41" s="6" t="inlineStr">
        <is>
          <t>Stated amount</t>
        </is>
      </c>
      <c r="I41" s="12" t="inlineStr">
        <is>
          <t>FIXED</t>
        </is>
      </c>
      <c r="J41" s="6" t="inlineStr">
        <is>
          <t>no</t>
        </is>
      </c>
      <c r="K41" s="6" t="inlineStr"/>
    </row>
    <row r="42">
      <c r="A42" s="5" t="n">
        <v>46348</v>
      </c>
      <c r="B42" s="6" t="inlineStr">
        <is>
          <t>Sun</t>
        </is>
      </c>
      <c r="C42" s="6" t="inlineStr">
        <is>
          <t>Groceries</t>
        </is>
      </c>
      <c r="D42" s="6" t="inlineStr">
        <is>
          <t>2 Essential</t>
        </is>
      </c>
      <c r="E42" s="6" t="inlineStr">
        <is>
          <t>weekly</t>
        </is>
      </c>
      <c r="F42" s="11" t="n">
        <v>319.09</v>
      </c>
      <c r="G42" s="7" t="n">
        <v>319.09</v>
      </c>
      <c r="H42" s="6" t="inlineStr">
        <is>
          <t>Stated amount</t>
        </is>
      </c>
      <c r="I42" s="12" t="inlineStr">
        <is>
          <t>FIXED</t>
        </is>
      </c>
      <c r="J42" s="6" t="inlineStr">
        <is>
          <t>no</t>
        </is>
      </c>
      <c r="K42" s="6" t="inlineStr">
        <is>
          <t>12.78 - 791.32</t>
        </is>
      </c>
    </row>
    <row r="43">
      <c r="A43" s="5" t="n">
        <v>46348</v>
      </c>
      <c r="B43" s="6" t="inlineStr">
        <is>
          <t>Sun</t>
        </is>
      </c>
      <c r="C43" s="6" t="inlineStr">
        <is>
          <t>Fuel</t>
        </is>
      </c>
      <c r="D43" s="6" t="inlineStr">
        <is>
          <t>2 Essential</t>
        </is>
      </c>
      <c r="E43" s="6" t="inlineStr">
        <is>
          <t>weekly</t>
        </is>
      </c>
      <c r="F43" s="11" t="n">
        <v>90.77</v>
      </c>
      <c r="G43" s="7" t="n">
        <v>90.77</v>
      </c>
      <c r="H43" s="6" t="inlineStr">
        <is>
          <t>Stated amount</t>
        </is>
      </c>
      <c r="I43" s="12" t="inlineStr">
        <is>
          <t>FIXED</t>
        </is>
      </c>
      <c r="J43" s="6" t="inlineStr">
        <is>
          <t>no</t>
        </is>
      </c>
      <c r="K43" s="6" t="inlineStr">
        <is>
          <t>20.00 - 447.12</t>
        </is>
      </c>
    </row>
    <row r="44">
      <c r="A44" s="5" t="n">
        <v>46348</v>
      </c>
      <c r="B44" s="6" t="inlineStr">
        <is>
          <t>Sun</t>
        </is>
      </c>
      <c r="C44" s="6" t="inlineStr">
        <is>
          <t>Chase CC United</t>
        </is>
      </c>
      <c r="D44" s="6" t="inlineStr">
        <is>
          <t>3 Required debt</t>
        </is>
      </c>
      <c r="E44" s="6" t="inlineStr">
        <is>
          <t>monthly</t>
        </is>
      </c>
      <c r="F44" s="11" t="n">
        <v>88</v>
      </c>
      <c r="G44" s="7" t="n">
        <v>46</v>
      </c>
      <c r="H44" s="14" t="inlineStr">
        <is>
          <t>SUPERSEDED - see notes</t>
        </is>
      </c>
      <c r="I44" s="6" t="inlineStr">
        <is>
          <t>UNKNOWN</t>
        </is>
      </c>
      <c r="J44" s="6" t="inlineStr">
        <is>
          <t>yes</t>
        </is>
      </c>
      <c r="K44" s="6" t="inlineStr">
        <is>
          <t>76.00 - 88.00</t>
        </is>
      </c>
    </row>
    <row r="45">
      <c r="A45" s="5" t="n">
        <v>46349</v>
      </c>
      <c r="B45" s="6" t="inlineStr">
        <is>
          <t>Mon</t>
        </is>
      </c>
      <c r="C45" s="6" t="inlineStr">
        <is>
          <t>Netflix</t>
        </is>
      </c>
      <c r="D45" s="6" t="inlineStr">
        <is>
          <t>5 Discretionary</t>
        </is>
      </c>
      <c r="E45" s="6" t="inlineStr">
        <is>
          <t>monthly</t>
        </is>
      </c>
      <c r="F45" s="11" t="n">
        <v>21.31</v>
      </c>
      <c r="G45" s="7" t="n">
        <v>21.31</v>
      </c>
      <c r="H45" s="6" t="inlineStr">
        <is>
          <t>Stated amount</t>
        </is>
      </c>
      <c r="I45" s="6" t="inlineStr">
        <is>
          <t>UNKNOWN</t>
        </is>
      </c>
      <c r="J45" s="6" t="inlineStr">
        <is>
          <t>yes</t>
        </is>
      </c>
      <c r="K45" s="6" t="inlineStr"/>
    </row>
    <row r="46">
      <c r="A46" s="5" t="n">
        <v>46350</v>
      </c>
      <c r="B46" s="6" t="inlineStr">
        <is>
          <t>Tue</t>
        </is>
      </c>
      <c r="C46" s="6" t="inlineStr">
        <is>
          <t>Kia</t>
        </is>
      </c>
      <c r="D46" s="6" t="inlineStr">
        <is>
          <t>1 Secured/critical</t>
        </is>
      </c>
      <c r="E46" s="6" t="inlineStr">
        <is>
          <t>monthly</t>
        </is>
      </c>
      <c r="F46" s="11" t="n">
        <v>742.65</v>
      </c>
      <c r="G46" s="7" t="n">
        <v>742.65</v>
      </c>
      <c r="H46" s="6" t="inlineStr">
        <is>
          <t>Stated amount</t>
        </is>
      </c>
      <c r="I46" s="12" t="inlineStr">
        <is>
          <t>FIXED</t>
        </is>
      </c>
      <c r="J46" s="6" t="inlineStr">
        <is>
          <t>yes</t>
        </is>
      </c>
      <c r="K46" s="6" t="inlineStr"/>
    </row>
    <row r="47">
      <c r="A47" s="5" t="n">
        <v>46350</v>
      </c>
      <c r="B47" s="6" t="inlineStr">
        <is>
          <t>Tue</t>
        </is>
      </c>
      <c r="C47" s="6" t="inlineStr">
        <is>
          <t>Upstart past bills (from Sep)</t>
        </is>
      </c>
      <c r="D47" s="6" t="inlineStr">
        <is>
          <t>3 Required debt</t>
        </is>
      </c>
      <c r="E47" s="6" t="inlineStr">
        <is>
          <t>monthly</t>
        </is>
      </c>
      <c r="F47" s="11" t="n">
        <v>337.61</v>
      </c>
      <c r="G47" s="7" t="n">
        <v>337.61</v>
      </c>
      <c r="H47" s="6" t="inlineStr">
        <is>
          <t>Stated amount</t>
        </is>
      </c>
      <c r="I47" s="12" t="inlineStr">
        <is>
          <t>FIXED</t>
        </is>
      </c>
      <c r="J47" s="6" t="inlineStr">
        <is>
          <t>yes</t>
        </is>
      </c>
      <c r="K47" s="6" t="inlineStr"/>
    </row>
    <row r="48">
      <c r="A48" s="5" t="n">
        <v>46353</v>
      </c>
      <c r="B48" s="6" t="inlineStr">
        <is>
          <t>Fri</t>
        </is>
      </c>
      <c r="C48" s="6" t="inlineStr">
        <is>
          <t>Barclay Old Navy</t>
        </is>
      </c>
      <c r="D48" s="6" t="inlineStr">
        <is>
          <t>3 Required debt</t>
        </is>
      </c>
      <c r="E48" s="6" t="inlineStr">
        <is>
          <t>monthly</t>
        </is>
      </c>
      <c r="F48" s="11" t="n">
        <v>84.78</v>
      </c>
      <c r="G48" s="7" t="n">
        <v>60.74</v>
      </c>
      <c r="H48" s="13" t="inlineStr">
        <is>
          <t>Forecast at worst seen</t>
        </is>
      </c>
      <c r="I48" s="6" t="inlineStr">
        <is>
          <t>UNKNOWN</t>
        </is>
      </c>
      <c r="J48" s="6" t="inlineStr">
        <is>
          <t>yes</t>
        </is>
      </c>
      <c r="K48" s="6" t="inlineStr">
        <is>
          <t>52.98 - 84.78</t>
        </is>
      </c>
    </row>
    <row r="49">
      <c r="A49" s="5" t="n">
        <v>46355</v>
      </c>
      <c r="B49" s="6" t="inlineStr">
        <is>
          <t>Sun</t>
        </is>
      </c>
      <c r="C49" s="6" t="inlineStr">
        <is>
          <t>Groceries</t>
        </is>
      </c>
      <c r="D49" s="6" t="inlineStr">
        <is>
          <t>2 Essential</t>
        </is>
      </c>
      <c r="E49" s="6" t="inlineStr">
        <is>
          <t>weekly</t>
        </is>
      </c>
      <c r="F49" s="11" t="n">
        <v>319.09</v>
      </c>
      <c r="G49" s="7" t="n">
        <v>319.09</v>
      </c>
      <c r="H49" s="6" t="inlineStr">
        <is>
          <t>Stated amount</t>
        </is>
      </c>
      <c r="I49" s="12" t="inlineStr">
        <is>
          <t>FIXED</t>
        </is>
      </c>
      <c r="J49" s="6" t="inlineStr">
        <is>
          <t>no</t>
        </is>
      </c>
      <c r="K49" s="6" t="inlineStr">
        <is>
          <t>12.78 - 791.32</t>
        </is>
      </c>
    </row>
    <row r="50">
      <c r="A50" s="5" t="n">
        <v>46355</v>
      </c>
      <c r="B50" s="6" t="inlineStr">
        <is>
          <t>Sun</t>
        </is>
      </c>
      <c r="C50" s="6" t="inlineStr">
        <is>
          <t>Fuel</t>
        </is>
      </c>
      <c r="D50" s="6" t="inlineStr">
        <is>
          <t>2 Essential</t>
        </is>
      </c>
      <c r="E50" s="6" t="inlineStr">
        <is>
          <t>weekly</t>
        </is>
      </c>
      <c r="F50" s="11" t="n">
        <v>90.77</v>
      </c>
      <c r="G50" s="7" t="n">
        <v>90.77</v>
      </c>
      <c r="H50" s="6" t="inlineStr">
        <is>
          <t>Stated amount</t>
        </is>
      </c>
      <c r="I50" s="12" t="inlineStr">
        <is>
          <t>FIXED</t>
        </is>
      </c>
      <c r="J50" s="6" t="inlineStr">
        <is>
          <t>no</t>
        </is>
      </c>
      <c r="K50" s="6" t="inlineStr">
        <is>
          <t>20.00 - 447.12</t>
        </is>
      </c>
    </row>
    <row r="51">
      <c r="A51" s="5" t="n">
        <v>46355</v>
      </c>
      <c r="B51" s="6" t="inlineStr">
        <is>
          <t>Sun</t>
        </is>
      </c>
      <c r="C51" s="6" t="inlineStr">
        <is>
          <t>Xfinity Mobile</t>
        </is>
      </c>
      <c r="D51" s="6" t="inlineStr">
        <is>
          <t>2 Essential</t>
        </is>
      </c>
      <c r="E51" s="6" t="inlineStr">
        <is>
          <t>monthly</t>
        </is>
      </c>
      <c r="F51" s="11" t="n">
        <v>88.81999999999999</v>
      </c>
      <c r="G51" s="7" t="n">
        <v>88.81999999999999</v>
      </c>
      <c r="H51" s="6" t="inlineStr">
        <is>
          <t>Stated amount</t>
        </is>
      </c>
      <c r="I51" s="6" t="inlineStr">
        <is>
          <t>UNKNOWN</t>
        </is>
      </c>
      <c r="J51" s="6" t="inlineStr">
        <is>
          <t>yes</t>
        </is>
      </c>
      <c r="K51" s="6" t="inlineStr"/>
    </row>
    <row r="52">
      <c r="A52" s="5" t="n">
        <v>46355</v>
      </c>
      <c r="B52" s="6" t="inlineStr">
        <is>
          <t>Sun</t>
        </is>
      </c>
      <c r="C52" s="6" t="inlineStr">
        <is>
          <t>Affirm</t>
        </is>
      </c>
      <c r="D52" s="6" t="inlineStr">
        <is>
          <t>3 Required debt</t>
        </is>
      </c>
      <c r="E52" s="6" t="inlineStr">
        <is>
          <t>monthly</t>
        </is>
      </c>
      <c r="F52" s="11" t="n">
        <v>73.06999999999999</v>
      </c>
      <c r="G52" s="7" t="n">
        <v>73.06999999999999</v>
      </c>
      <c r="H52" s="6" t="inlineStr">
        <is>
          <t>Stated amount</t>
        </is>
      </c>
      <c r="I52" s="6" t="inlineStr">
        <is>
          <t>UNKNOWN</t>
        </is>
      </c>
      <c r="J52" s="6" t="inlineStr">
        <is>
          <t>yes</t>
        </is>
      </c>
      <c r="K52" s="6" t="inlineStr"/>
    </row>
    <row r="53">
      <c r="A53" s="5" t="n">
        <v>46356</v>
      </c>
      <c r="B53" s="6" t="inlineStr">
        <is>
          <t>Mon</t>
        </is>
      </c>
      <c r="C53" s="6" t="inlineStr">
        <is>
          <t>Mortgage</t>
        </is>
      </c>
      <c r="D53" s="6" t="inlineStr">
        <is>
          <t>1 Secured/critical</t>
        </is>
      </c>
      <c r="E53" s="6" t="inlineStr">
        <is>
          <t>biweekly</t>
        </is>
      </c>
      <c r="F53" s="11" t="n">
        <v>1801.62</v>
      </c>
      <c r="G53" s="7" t="n">
        <v>1801.62</v>
      </c>
      <c r="H53" s="6" t="inlineStr">
        <is>
          <t>Stated amount</t>
        </is>
      </c>
      <c r="I53" s="12" t="inlineStr">
        <is>
          <t>FIXED</t>
        </is>
      </c>
      <c r="J53" s="6" t="inlineStr">
        <is>
          <t>no</t>
        </is>
      </c>
      <c r="K53" s="6" t="inlineStr"/>
    </row>
    <row r="54">
      <c r="A54" s="8" t="n"/>
      <c r="B54" s="8" t="n"/>
      <c r="C54" s="9" t="inlineStr">
        <is>
          <t>Total money out</t>
        </is>
      </c>
      <c r="D54" s="8" t="n"/>
      <c r="E54" s="8" t="n"/>
      <c r="F54" s="10">
        <f>SUM(F14:F53)</f>
        <v/>
      </c>
      <c r="G54" s="10">
        <f>SUM(G14:G53)</f>
        <v/>
      </c>
      <c r="H54" s="8" t="n"/>
      <c r="I54" s="8" t="n"/>
      <c r="J54" s="8" t="n"/>
      <c r="K54" s="8" t="n"/>
    </row>
    <row r="56">
      <c r="A56" s="3" t="inlineStr">
        <is>
          <t>MONTH SUMMARY</t>
        </is>
      </c>
    </row>
    <row r="57">
      <c r="C57" s="6" t="inlineStr">
        <is>
          <t>Money in</t>
        </is>
      </c>
      <c r="D57" s="15" t="n"/>
      <c r="E57" s="15" t="n"/>
      <c r="F57" s="16">
        <f>E10</f>
        <v/>
      </c>
    </row>
    <row r="58">
      <c r="C58" s="6" t="inlineStr">
        <is>
          <t>Money out (budget)</t>
        </is>
      </c>
      <c r="D58" s="15" t="n"/>
      <c r="E58" s="15" t="n"/>
      <c r="F58" s="16">
        <f>F54</f>
        <v/>
      </c>
    </row>
    <row r="59">
      <c r="C59" s="9" t="inlineStr">
        <is>
          <t>Net for the month</t>
        </is>
      </c>
      <c r="D59" s="8" t="n"/>
      <c r="E59" s="8" t="n"/>
      <c r="F59" s="10">
        <f>E10-F54</f>
        <v/>
      </c>
    </row>
    <row r="60">
      <c r="C60" s="6" t="inlineStr">
        <is>
          <t>Money out at stored amounts</t>
        </is>
      </c>
      <c r="D60" s="15" t="n"/>
      <c r="E60" s="15" t="n"/>
      <c r="F60" s="16">
        <f>G54</f>
        <v/>
      </c>
    </row>
    <row r="61">
      <c r="C61" s="6" t="inlineStr">
        <is>
          <t>Over-forecast vs stored</t>
        </is>
      </c>
      <c r="D61" s="15" t="n"/>
      <c r="E61" s="15" t="n"/>
      <c r="F61" s="16">
        <f>F54-G54</f>
        <v/>
      </c>
    </row>
    <row r="63">
      <c r="A63" s="3" t="inlineStr">
        <is>
          <t>NOTES AND ASSUMPTIONS</t>
        </is>
      </c>
    </row>
    <row r="64">
      <c r="A64" s="17" t="inlineStr">
        <is>
          <t>- INCOME SWITCHED OFF: Branchburg BOE payroll (2,829.31 biweekly) is recorded in income.json but NOT counted anywhere in this workbook. If it is actually being received, every monthly net figure here is understated by that amount.</t>
        </is>
      </c>
    </row>
    <row r="65">
      <c r="A65" s="17" t="inlineStr">
        <is>
          <t>- Budget vs Stored: 'Budget' is what the engine forecasts for that date; 'Stored' is the figure recorded in bills.json.</t>
        </is>
      </c>
    </row>
    <row r="66">
      <c r="A66" s="17" t="inlineStr">
        <is>
          <t>- Seasonal profile: gas and electric carry a month-of-year profile built from recent years of statements, so their budget figure changes every month. Neither figure is wrong.</t>
        </is>
      </c>
    </row>
    <row r="67">
      <c r="A67" s="17" t="inlineStr">
        <is>
          <t>- Forecast at worst seen: a variable bill landing monthly or less often is budgeted at the top of its observed range, deliberately, because under-forecasting an outflow is what causes an overdraft.</t>
        </is>
      </c>
    </row>
    <row r="68">
      <c r="A68" s="17" t="inlineStr">
        <is>
          <t>- SUPERSEDED: the engine is forecasting ABOVE an amount the household renegotiated, because the observed maximum predates the correction. Affects four cards and the water bill. This is a defect, not a rule - the Stored column is the agreed figure.</t>
        </is>
      </c>
    </row>
    <row r="69">
      <c r="A69" s="17" t="inlineStr">
        <is>
          <t>- Movability: FIXED means secured or recorded as non-deferrable. UNKNOWN means nothing records how late the payment may safely be, so no date change can be recommended without confirming it.</t>
        </is>
      </c>
    </row>
    <row r="70">
      <c r="A70" s="17" t="inlineStr">
        <is>
          <t>- Weekly items (groceries, fuel) appear once per occurrence, so a five-week month legitimately shows five rows.</t>
        </is>
      </c>
    </row>
    <row r="71">
      <c r="A71" s="17" t="inlineStr">
        <is>
          <t>- Excluded as ended or paid off, kept for history: Affirm large, Trilogy Lacrosse.</t>
        </is>
      </c>
    </row>
  </sheetData>
  <mergeCells count="10">
    <mergeCell ref="A69:K69"/>
    <mergeCell ref="A64:K64"/>
    <mergeCell ref="A65:K65"/>
    <mergeCell ref="A2:K2"/>
    <mergeCell ref="A71:K71"/>
    <mergeCell ref="A68:K68"/>
    <mergeCell ref="A66:K66"/>
    <mergeCell ref="A1:K1"/>
    <mergeCell ref="A70:K70"/>
    <mergeCell ref="A67:K67"/>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K70"/>
  <sheetViews>
    <sheetView showGridLines="0" workbookViewId="0">
      <pane ySplit="14" topLeftCell="A15"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December 2026</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46358</v>
      </c>
      <c r="B6" s="6" t="inlineStr">
        <is>
          <t>Wed</t>
        </is>
      </c>
      <c r="C6" s="6" t="inlineStr">
        <is>
          <t>Insight Global payroll</t>
        </is>
      </c>
      <c r="D6" s="6" t="inlineStr">
        <is>
          <t>weekly</t>
        </is>
      </c>
      <c r="E6" s="7" t="n">
        <v>2016.06</v>
      </c>
      <c r="F6" s="6" t="inlineStr">
        <is>
          <t>UNVERIFIED - flagged needs_review</t>
        </is>
      </c>
    </row>
    <row r="7">
      <c r="A7" s="5" t="n">
        <v>46365</v>
      </c>
      <c r="B7" s="6" t="inlineStr">
        <is>
          <t>Wed</t>
        </is>
      </c>
      <c r="C7" s="6" t="inlineStr">
        <is>
          <t>Insight Global payroll</t>
        </is>
      </c>
      <c r="D7" s="6" t="inlineStr">
        <is>
          <t>weekly</t>
        </is>
      </c>
      <c r="E7" s="7" t="n">
        <v>2016.06</v>
      </c>
      <c r="F7" s="6" t="inlineStr">
        <is>
          <t>UNVERIFIED - flagged needs_review</t>
        </is>
      </c>
    </row>
    <row r="8">
      <c r="A8" s="5" t="n">
        <v>46372</v>
      </c>
      <c r="B8" s="6" t="inlineStr">
        <is>
          <t>Wed</t>
        </is>
      </c>
      <c r="C8" s="6" t="inlineStr">
        <is>
          <t>Insight Global payroll</t>
        </is>
      </c>
      <c r="D8" s="6" t="inlineStr">
        <is>
          <t>weekly</t>
        </is>
      </c>
      <c r="E8" s="7" t="n">
        <v>2016.06</v>
      </c>
      <c r="F8" s="6" t="inlineStr">
        <is>
          <t>UNVERIFIED - flagged needs_review</t>
        </is>
      </c>
    </row>
    <row r="9">
      <c r="A9" s="5" t="n">
        <v>46379</v>
      </c>
      <c r="B9" s="6" t="inlineStr">
        <is>
          <t>Wed</t>
        </is>
      </c>
      <c r="C9" s="6" t="inlineStr">
        <is>
          <t>Insight Global payroll</t>
        </is>
      </c>
      <c r="D9" s="6" t="inlineStr">
        <is>
          <t>weekly</t>
        </is>
      </c>
      <c r="E9" s="7" t="n">
        <v>2016.06</v>
      </c>
      <c r="F9" s="6" t="inlineStr">
        <is>
          <t>UNVERIFIED - flagged needs_review</t>
        </is>
      </c>
    </row>
    <row r="10">
      <c r="A10" s="5" t="n">
        <v>46386</v>
      </c>
      <c r="B10" s="6" t="inlineStr">
        <is>
          <t>Wed</t>
        </is>
      </c>
      <c r="C10" s="6" t="inlineStr">
        <is>
          <t>Insight Global payroll</t>
        </is>
      </c>
      <c r="D10" s="6" t="inlineStr">
        <is>
          <t>weekly</t>
        </is>
      </c>
      <c r="E10" s="7" t="n">
        <v>2016.06</v>
      </c>
      <c r="F10" s="6" t="inlineStr">
        <is>
          <t>UNVERIFIED - flagged needs_review</t>
        </is>
      </c>
    </row>
    <row r="11">
      <c r="A11" s="8" t="n"/>
      <c r="B11" s="8" t="n"/>
      <c r="C11" s="9" t="inlineStr">
        <is>
          <t>Total money in</t>
        </is>
      </c>
      <c r="D11" s="8" t="n"/>
      <c r="E11" s="10">
        <f>SUM(E6:E10)</f>
        <v/>
      </c>
      <c r="F11" s="8" t="n"/>
    </row>
    <row r="13">
      <c r="A13" s="3" t="inlineStr">
        <is>
          <t>MONEY OUT</t>
        </is>
      </c>
    </row>
    <row r="14">
      <c r="A14" s="4" t="inlineStr">
        <is>
          <t>Due date</t>
        </is>
      </c>
      <c r="B14" s="4" t="inlineStr">
        <is>
          <t>Day</t>
        </is>
      </c>
      <c r="C14" s="4" t="inlineStr">
        <is>
          <t>Bill / payee</t>
        </is>
      </c>
      <c r="D14" s="4" t="inlineStr">
        <is>
          <t>Category</t>
        </is>
      </c>
      <c r="E14" s="4" t="inlineStr">
        <is>
          <t>Frequency</t>
        </is>
      </c>
      <c r="F14" s="4" t="inlineStr">
        <is>
          <t>Budget</t>
        </is>
      </c>
      <c r="G14" s="4" t="inlineStr">
        <is>
          <t>Stored</t>
        </is>
      </c>
      <c r="H14" s="4" t="inlineStr">
        <is>
          <t>Basis</t>
        </is>
      </c>
      <c r="I14" s="4" t="inlineStr">
        <is>
          <t>Movability</t>
        </is>
      </c>
      <c r="J14" s="4" t="inlineStr">
        <is>
          <t>Autopay</t>
        </is>
      </c>
      <c r="K14" s="4" t="inlineStr">
        <is>
          <t>Historical range seen</t>
        </is>
      </c>
    </row>
    <row r="15">
      <c r="A15" s="5" t="n">
        <v>46359</v>
      </c>
      <c r="B15" s="6" t="inlineStr">
        <is>
          <t>Thu</t>
        </is>
      </c>
      <c r="C15" s="6" t="inlineStr">
        <is>
          <t>JCP&amp;L / FirstEnergy</t>
        </is>
      </c>
      <c r="D15" s="6" t="inlineStr">
        <is>
          <t>2 Essential</t>
        </is>
      </c>
      <c r="E15" s="6" t="inlineStr">
        <is>
          <t>monthly</t>
        </is>
      </c>
      <c r="F15" s="11" t="n">
        <v>161.1</v>
      </c>
      <c r="G15" s="7" t="n">
        <v>418.98</v>
      </c>
      <c r="H15" s="6" t="inlineStr">
        <is>
          <t>Seasonal profile</t>
        </is>
      </c>
      <c r="I15" s="12" t="inlineStr">
        <is>
          <t>FIXED</t>
        </is>
      </c>
      <c r="J15" s="6" t="inlineStr">
        <is>
          <t>no</t>
        </is>
      </c>
      <c r="K15" s="6" t="inlineStr">
        <is>
          <t>130.28 - 489.87</t>
        </is>
      </c>
    </row>
    <row r="16">
      <c r="A16" s="5" t="n">
        <v>46360</v>
      </c>
      <c r="B16" s="6" t="inlineStr">
        <is>
          <t>Fri</t>
        </is>
      </c>
      <c r="C16" s="6" t="inlineStr">
        <is>
          <t>Culligan</t>
        </is>
      </c>
      <c r="D16" s="6" t="inlineStr">
        <is>
          <t>5 Discretionary</t>
        </is>
      </c>
      <c r="E16" s="6" t="inlineStr">
        <is>
          <t>monthly</t>
        </is>
      </c>
      <c r="F16" s="11" t="n">
        <v>307.7</v>
      </c>
      <c r="G16" s="7" t="n">
        <v>40.39</v>
      </c>
      <c r="H16" s="13" t="inlineStr">
        <is>
          <t>Forecast at worst seen</t>
        </is>
      </c>
      <c r="I16" s="6" t="inlineStr">
        <is>
          <t>UNKNOWN</t>
        </is>
      </c>
      <c r="J16" s="6" t="inlineStr">
        <is>
          <t>no</t>
        </is>
      </c>
      <c r="K16" s="6" t="inlineStr">
        <is>
          <t>40.39 - 307.70</t>
        </is>
      </c>
    </row>
    <row r="17">
      <c r="A17" s="5" t="n">
        <v>46360</v>
      </c>
      <c r="B17" s="6" t="inlineStr">
        <is>
          <t>Fri</t>
        </is>
      </c>
      <c r="C17" s="6" t="inlineStr">
        <is>
          <t>TJX Rewards</t>
        </is>
      </c>
      <c r="D17" s="6" t="inlineStr">
        <is>
          <t>5 Discretionary</t>
        </is>
      </c>
      <c r="E17" s="6" t="inlineStr">
        <is>
          <t>monthly</t>
        </is>
      </c>
      <c r="F17" s="11" t="n">
        <v>36</v>
      </c>
      <c r="G17" s="7" t="n">
        <v>36</v>
      </c>
      <c r="H17" s="6" t="inlineStr">
        <is>
          <t>Stated amount</t>
        </is>
      </c>
      <c r="I17" s="6" t="inlineStr">
        <is>
          <t>UNKNOWN</t>
        </is>
      </c>
      <c r="J17" s="6" t="inlineStr">
        <is>
          <t>yes</t>
        </is>
      </c>
      <c r="K17" s="6" t="inlineStr"/>
    </row>
    <row r="18">
      <c r="A18" s="5" t="n">
        <v>46362</v>
      </c>
      <c r="B18" s="6" t="inlineStr">
        <is>
          <t>Sun</t>
        </is>
      </c>
      <c r="C18" s="6" t="inlineStr">
        <is>
          <t>One Main loan</t>
        </is>
      </c>
      <c r="D18" s="6" t="inlineStr">
        <is>
          <t>3 Required debt</t>
        </is>
      </c>
      <c r="E18" s="6" t="inlineStr">
        <is>
          <t>monthly</t>
        </is>
      </c>
      <c r="F18" s="11" t="n">
        <v>388.24</v>
      </c>
      <c r="G18" s="7" t="n">
        <v>388.24</v>
      </c>
      <c r="H18" s="6" t="inlineStr">
        <is>
          <t>Stated amount</t>
        </is>
      </c>
      <c r="I18" s="12" t="inlineStr">
        <is>
          <t>FIXED</t>
        </is>
      </c>
      <c r="J18" s="6" t="inlineStr">
        <is>
          <t>yes</t>
        </is>
      </c>
      <c r="K18" s="6" t="inlineStr"/>
    </row>
    <row r="19">
      <c r="A19" s="5" t="n">
        <v>46362</v>
      </c>
      <c r="B19" s="6" t="inlineStr">
        <is>
          <t>Sun</t>
        </is>
      </c>
      <c r="C19" s="6" t="inlineStr">
        <is>
          <t>Groceries</t>
        </is>
      </c>
      <c r="D19" s="6" t="inlineStr">
        <is>
          <t>2 Essential</t>
        </is>
      </c>
      <c r="E19" s="6" t="inlineStr">
        <is>
          <t>weekly</t>
        </is>
      </c>
      <c r="F19" s="11" t="n">
        <v>319.09</v>
      </c>
      <c r="G19" s="7" t="n">
        <v>319.09</v>
      </c>
      <c r="H19" s="6" t="inlineStr">
        <is>
          <t>Stated amount</t>
        </is>
      </c>
      <c r="I19" s="12" t="inlineStr">
        <is>
          <t>FIXED</t>
        </is>
      </c>
      <c r="J19" s="6" t="inlineStr">
        <is>
          <t>no</t>
        </is>
      </c>
      <c r="K19" s="6" t="inlineStr">
        <is>
          <t>12.78 - 791.32</t>
        </is>
      </c>
    </row>
    <row r="20">
      <c r="A20" s="5" t="n">
        <v>46362</v>
      </c>
      <c r="B20" s="6" t="inlineStr">
        <is>
          <t>Sun</t>
        </is>
      </c>
      <c r="C20" s="6" t="inlineStr">
        <is>
          <t>Fuel</t>
        </is>
      </c>
      <c r="D20" s="6" t="inlineStr">
        <is>
          <t>2 Essential</t>
        </is>
      </c>
      <c r="E20" s="6" t="inlineStr">
        <is>
          <t>weekly</t>
        </is>
      </c>
      <c r="F20" s="11" t="n">
        <v>90.77</v>
      </c>
      <c r="G20" s="7" t="n">
        <v>90.77</v>
      </c>
      <c r="H20" s="6" t="inlineStr">
        <is>
          <t>Stated amount</t>
        </is>
      </c>
      <c r="I20" s="12" t="inlineStr">
        <is>
          <t>FIXED</t>
        </is>
      </c>
      <c r="J20" s="6" t="inlineStr">
        <is>
          <t>no</t>
        </is>
      </c>
      <c r="K20" s="6" t="inlineStr">
        <is>
          <t>20.00 - 447.12</t>
        </is>
      </c>
    </row>
    <row r="21">
      <c r="A21" s="5" t="n">
        <v>46364</v>
      </c>
      <c r="B21" s="6" t="inlineStr">
        <is>
          <t>Tue</t>
        </is>
      </c>
      <c r="C21" s="6" t="inlineStr">
        <is>
          <t>PNC</t>
        </is>
      </c>
      <c r="D21" s="6" t="inlineStr">
        <is>
          <t>3 Required debt</t>
        </is>
      </c>
      <c r="E21" s="6" t="inlineStr">
        <is>
          <t>monthly</t>
        </is>
      </c>
      <c r="F21" s="11" t="n">
        <v>150</v>
      </c>
      <c r="G21" s="7" t="n">
        <v>70</v>
      </c>
      <c r="H21" s="13" t="inlineStr">
        <is>
          <t>Forecast at worst seen</t>
        </is>
      </c>
      <c r="I21" s="6" t="inlineStr">
        <is>
          <t>UNKNOWN</t>
        </is>
      </c>
      <c r="J21" s="6" t="inlineStr">
        <is>
          <t>no</t>
        </is>
      </c>
      <c r="K21" s="6" t="inlineStr">
        <is>
          <t>70.00 - 150.00</t>
        </is>
      </c>
    </row>
    <row r="22">
      <c r="A22" s="5" t="n">
        <v>46367</v>
      </c>
      <c r="B22" s="6" t="inlineStr">
        <is>
          <t>Fri</t>
        </is>
      </c>
      <c r="C22" s="6" t="inlineStr">
        <is>
          <t>Elizabethtown Gas</t>
        </is>
      </c>
      <c r="D22" s="6" t="inlineStr">
        <is>
          <t>2 Essential</t>
        </is>
      </c>
      <c r="E22" s="6" t="inlineStr">
        <is>
          <t>monthly</t>
        </is>
      </c>
      <c r="F22" s="11" t="n">
        <v>186</v>
      </c>
      <c r="G22" s="7" t="n">
        <v>54.03</v>
      </c>
      <c r="H22" s="6" t="inlineStr">
        <is>
          <t>Seasonal profile</t>
        </is>
      </c>
      <c r="I22" s="12" t="inlineStr">
        <is>
          <t>FIXED</t>
        </is>
      </c>
      <c r="J22" s="6" t="inlineStr">
        <is>
          <t>no</t>
        </is>
      </c>
      <c r="K22" s="6" t="inlineStr">
        <is>
          <t>54.03 - 550.83</t>
        </is>
      </c>
    </row>
    <row r="23">
      <c r="A23" s="5" t="n">
        <v>46367</v>
      </c>
      <c r="B23" s="6" t="inlineStr">
        <is>
          <t>Fri</t>
        </is>
      </c>
      <c r="C23" s="6" t="inlineStr">
        <is>
          <t>T-Mobile Lia</t>
        </is>
      </c>
      <c r="D23" s="6" t="inlineStr">
        <is>
          <t>2 Essential</t>
        </is>
      </c>
      <c r="E23" s="6" t="inlineStr">
        <is>
          <t>monthly</t>
        </is>
      </c>
      <c r="F23" s="11" t="n">
        <v>20.75</v>
      </c>
      <c r="G23" s="7" t="n">
        <v>20.75</v>
      </c>
      <c r="H23" s="6" t="inlineStr">
        <is>
          <t>Stated amount</t>
        </is>
      </c>
      <c r="I23" s="6" t="inlineStr">
        <is>
          <t>UNKNOWN</t>
        </is>
      </c>
      <c r="J23" s="6" t="inlineStr">
        <is>
          <t>yes</t>
        </is>
      </c>
      <c r="K23" s="6" t="inlineStr"/>
    </row>
    <row r="24">
      <c r="A24" s="5" t="n">
        <v>46368</v>
      </c>
      <c r="B24" s="6" t="inlineStr">
        <is>
          <t>Sat</t>
        </is>
      </c>
      <c r="C24" s="6" t="inlineStr">
        <is>
          <t>Hanover Auto</t>
        </is>
      </c>
      <c r="D24" s="6" t="inlineStr">
        <is>
          <t>2 Essential</t>
        </is>
      </c>
      <c r="E24" s="6" t="inlineStr">
        <is>
          <t>monthly</t>
        </is>
      </c>
      <c r="F24" s="11" t="n">
        <v>513.27</v>
      </c>
      <c r="G24" s="7" t="n">
        <v>513.27</v>
      </c>
      <c r="H24" s="6" t="inlineStr">
        <is>
          <t>Stated amount</t>
        </is>
      </c>
      <c r="I24" s="12" t="inlineStr">
        <is>
          <t>FIXED</t>
        </is>
      </c>
      <c r="J24" s="6" t="inlineStr">
        <is>
          <t>no</t>
        </is>
      </c>
      <c r="K24" s="6" t="inlineStr"/>
    </row>
    <row r="25">
      <c r="A25" s="5" t="n">
        <v>46368</v>
      </c>
      <c r="B25" s="6" t="inlineStr">
        <is>
          <t>Sat</t>
        </is>
      </c>
      <c r="C25" s="6" t="inlineStr">
        <is>
          <t>Comenity</t>
        </is>
      </c>
      <c r="D25" s="6" t="inlineStr">
        <is>
          <t>3 Required debt</t>
        </is>
      </c>
      <c r="E25" s="6" t="inlineStr">
        <is>
          <t>monthly</t>
        </is>
      </c>
      <c r="F25" s="11" t="n">
        <v>65</v>
      </c>
      <c r="G25" s="7" t="n">
        <v>50</v>
      </c>
      <c r="H25" s="13" t="inlineStr">
        <is>
          <t>Forecast at worst seen</t>
        </is>
      </c>
      <c r="I25" s="6" t="inlineStr">
        <is>
          <t>UNKNOWN</t>
        </is>
      </c>
      <c r="J25" s="6" t="inlineStr">
        <is>
          <t>no</t>
        </is>
      </c>
      <c r="K25" s="6" t="inlineStr">
        <is>
          <t>40.00 - 65.00</t>
        </is>
      </c>
    </row>
    <row r="26">
      <c r="A26" s="5" t="n">
        <v>46369</v>
      </c>
      <c r="B26" s="6" t="inlineStr">
        <is>
          <t>Sun</t>
        </is>
      </c>
      <c r="C26" s="6" t="inlineStr">
        <is>
          <t>Groceries</t>
        </is>
      </c>
      <c r="D26" s="6" t="inlineStr">
        <is>
          <t>2 Essential</t>
        </is>
      </c>
      <c r="E26" s="6" t="inlineStr">
        <is>
          <t>weekly</t>
        </is>
      </c>
      <c r="F26" s="11" t="n">
        <v>319.09</v>
      </c>
      <c r="G26" s="7" t="n">
        <v>319.09</v>
      </c>
      <c r="H26" s="6" t="inlineStr">
        <is>
          <t>Stated amount</t>
        </is>
      </c>
      <c r="I26" s="12" t="inlineStr">
        <is>
          <t>FIXED</t>
        </is>
      </c>
      <c r="J26" s="6" t="inlineStr">
        <is>
          <t>no</t>
        </is>
      </c>
      <c r="K26" s="6" t="inlineStr">
        <is>
          <t>12.78 - 791.32</t>
        </is>
      </c>
    </row>
    <row r="27">
      <c r="A27" s="5" t="n">
        <v>46369</v>
      </c>
      <c r="B27" s="6" t="inlineStr">
        <is>
          <t>Sun</t>
        </is>
      </c>
      <c r="C27" s="6" t="inlineStr">
        <is>
          <t>Fuel</t>
        </is>
      </c>
      <c r="D27" s="6" t="inlineStr">
        <is>
          <t>2 Essential</t>
        </is>
      </c>
      <c r="E27" s="6" t="inlineStr">
        <is>
          <t>weekly</t>
        </is>
      </c>
      <c r="F27" s="11" t="n">
        <v>90.77</v>
      </c>
      <c r="G27" s="7" t="n">
        <v>90.77</v>
      </c>
      <c r="H27" s="6" t="inlineStr">
        <is>
          <t>Stated amount</t>
        </is>
      </c>
      <c r="I27" s="12" t="inlineStr">
        <is>
          <t>FIXED</t>
        </is>
      </c>
      <c r="J27" s="6" t="inlineStr">
        <is>
          <t>no</t>
        </is>
      </c>
      <c r="K27" s="6" t="inlineStr">
        <is>
          <t>20.00 - 447.12</t>
        </is>
      </c>
    </row>
    <row r="28">
      <c r="A28" s="5" t="n">
        <v>46370</v>
      </c>
      <c r="B28" s="6" t="inlineStr">
        <is>
          <t>Mon</t>
        </is>
      </c>
      <c r="C28" s="6" t="inlineStr">
        <is>
          <t>Mortgage</t>
        </is>
      </c>
      <c r="D28" s="6" t="inlineStr">
        <is>
          <t>1 Secured/critical</t>
        </is>
      </c>
      <c r="E28" s="6" t="inlineStr">
        <is>
          <t>biweekly</t>
        </is>
      </c>
      <c r="F28" s="11" t="n">
        <v>1801.62</v>
      </c>
      <c r="G28" s="7" t="n">
        <v>1801.62</v>
      </c>
      <c r="H28" s="6" t="inlineStr">
        <is>
          <t>Stated amount</t>
        </is>
      </c>
      <c r="I28" s="12" t="inlineStr">
        <is>
          <t>FIXED</t>
        </is>
      </c>
      <c r="J28" s="6" t="inlineStr">
        <is>
          <t>no</t>
        </is>
      </c>
      <c r="K28" s="6" t="inlineStr"/>
    </row>
    <row r="29">
      <c r="A29" s="5" t="n">
        <v>46370</v>
      </c>
      <c r="B29" s="6" t="inlineStr">
        <is>
          <t>Mon</t>
        </is>
      </c>
      <c r="C29" s="6" t="inlineStr">
        <is>
          <t>Home Depot</t>
        </is>
      </c>
      <c r="D29" s="6" t="inlineStr">
        <is>
          <t>5 Discretionary</t>
        </is>
      </c>
      <c r="E29" s="6" t="inlineStr">
        <is>
          <t>monthly</t>
        </is>
      </c>
      <c r="F29" s="11" t="n">
        <v>100</v>
      </c>
      <c r="G29" s="7" t="n">
        <v>100</v>
      </c>
      <c r="H29" s="6" t="inlineStr">
        <is>
          <t>Stated amount</t>
        </is>
      </c>
      <c r="I29" s="6" t="inlineStr">
        <is>
          <t>UNKNOWN</t>
        </is>
      </c>
      <c r="J29" s="6" t="inlineStr">
        <is>
          <t>yes</t>
        </is>
      </c>
      <c r="K29" s="6" t="inlineStr">
        <is>
          <t>32.70 - 100.00</t>
        </is>
      </c>
    </row>
    <row r="30">
      <c r="A30" s="5" t="n">
        <v>46371</v>
      </c>
      <c r="B30" s="6" t="inlineStr">
        <is>
          <t>Tue</t>
        </is>
      </c>
      <c r="C30" s="6" t="inlineStr">
        <is>
          <t>Loew &amp; Patel braces</t>
        </is>
      </c>
      <c r="D30" s="6" t="inlineStr">
        <is>
          <t>4 Scheduled</t>
        </is>
      </c>
      <c r="E30" s="6" t="inlineStr">
        <is>
          <t>monthly</t>
        </is>
      </c>
      <c r="F30" s="11" t="n">
        <v>400</v>
      </c>
      <c r="G30" s="7" t="n">
        <v>400</v>
      </c>
      <c r="H30" s="6" t="inlineStr">
        <is>
          <t>Stated amount</t>
        </is>
      </c>
      <c r="I30" s="6" t="inlineStr">
        <is>
          <t>UNKNOWN</t>
        </is>
      </c>
      <c r="J30" s="6" t="inlineStr">
        <is>
          <t>no</t>
        </is>
      </c>
      <c r="K30" s="6" t="inlineStr">
        <is>
          <t>15.00 - 0.00</t>
        </is>
      </c>
    </row>
    <row r="31">
      <c r="A31" s="5" t="n">
        <v>46371</v>
      </c>
      <c r="B31" s="6" t="inlineStr">
        <is>
          <t>Tue</t>
        </is>
      </c>
      <c r="C31" s="6" t="inlineStr">
        <is>
          <t>Upstart debt consol</t>
        </is>
      </c>
      <c r="D31" s="6" t="inlineStr">
        <is>
          <t>3 Required debt</t>
        </is>
      </c>
      <c r="E31" s="6" t="inlineStr">
        <is>
          <t>monthly</t>
        </is>
      </c>
      <c r="F31" s="11" t="n">
        <v>161</v>
      </c>
      <c r="G31" s="7" t="n">
        <v>161</v>
      </c>
      <c r="H31" s="6" t="inlineStr">
        <is>
          <t>Stated amount</t>
        </is>
      </c>
      <c r="I31" s="12" t="inlineStr">
        <is>
          <t>FIXED</t>
        </is>
      </c>
      <c r="J31" s="6" t="inlineStr">
        <is>
          <t>yes</t>
        </is>
      </c>
      <c r="K31" s="6" t="inlineStr"/>
    </row>
    <row r="32">
      <c r="A32" s="5" t="n">
        <v>46373</v>
      </c>
      <c r="B32" s="6" t="inlineStr">
        <is>
          <t>Thu</t>
        </is>
      </c>
      <c r="C32" s="6" t="inlineStr">
        <is>
          <t>Capital One CC</t>
        </is>
      </c>
      <c r="D32" s="6" t="inlineStr">
        <is>
          <t>3 Required debt</t>
        </is>
      </c>
      <c r="E32" s="6" t="inlineStr">
        <is>
          <t>monthly</t>
        </is>
      </c>
      <c r="F32" s="11" t="n">
        <v>163</v>
      </c>
      <c r="G32" s="7" t="n">
        <v>105</v>
      </c>
      <c r="H32" s="14" t="inlineStr">
        <is>
          <t>SUPERSEDED - see notes</t>
        </is>
      </c>
      <c r="I32" s="6" t="inlineStr">
        <is>
          <t>UNKNOWN</t>
        </is>
      </c>
      <c r="J32" s="6" t="inlineStr">
        <is>
          <t>yes</t>
        </is>
      </c>
      <c r="K32" s="6" t="inlineStr">
        <is>
          <t>154.00 - 163.00</t>
        </is>
      </c>
    </row>
    <row r="33">
      <c r="A33" s="5" t="n">
        <v>46373</v>
      </c>
      <c r="B33" s="6" t="inlineStr">
        <is>
          <t>Thu</t>
        </is>
      </c>
      <c r="C33" s="6" t="inlineStr">
        <is>
          <t>Chase CC Amazon</t>
        </is>
      </c>
      <c r="D33" s="6" t="inlineStr">
        <is>
          <t>3 Required debt</t>
        </is>
      </c>
      <c r="E33" s="6" t="inlineStr">
        <is>
          <t>monthly</t>
        </is>
      </c>
      <c r="F33" s="11" t="n">
        <v>136</v>
      </c>
      <c r="G33" s="7" t="n">
        <v>80</v>
      </c>
      <c r="H33" s="14" t="inlineStr">
        <is>
          <t>SUPERSEDED - see notes</t>
        </is>
      </c>
      <c r="I33" s="6" t="inlineStr">
        <is>
          <t>UNKNOWN</t>
        </is>
      </c>
      <c r="J33" s="6" t="inlineStr">
        <is>
          <t>yes</t>
        </is>
      </c>
      <c r="K33" s="6" t="inlineStr">
        <is>
          <t>124.00 - 136.00</t>
        </is>
      </c>
    </row>
    <row r="34">
      <c r="A34" s="5" t="n">
        <v>46374</v>
      </c>
      <c r="B34" s="6" t="inlineStr">
        <is>
          <t>Fri</t>
        </is>
      </c>
      <c r="C34" s="6" t="inlineStr">
        <is>
          <t>CCU car loan</t>
        </is>
      </c>
      <c r="D34" s="6" t="inlineStr">
        <is>
          <t>1 Secured/critical</t>
        </is>
      </c>
      <c r="E34" s="6" t="inlineStr">
        <is>
          <t>monthly</t>
        </is>
      </c>
      <c r="F34" s="11" t="n">
        <v>306.9</v>
      </c>
      <c r="G34" s="7" t="n">
        <v>306.9</v>
      </c>
      <c r="H34" s="6" t="inlineStr">
        <is>
          <t>Stated amount</t>
        </is>
      </c>
      <c r="I34" s="12" t="inlineStr">
        <is>
          <t>FIXED</t>
        </is>
      </c>
      <c r="J34" s="6" t="inlineStr">
        <is>
          <t>yes</t>
        </is>
      </c>
      <c r="K34" s="6" t="inlineStr"/>
    </row>
    <row r="35">
      <c r="A35" s="5" t="n">
        <v>46374</v>
      </c>
      <c r="B35" s="6" t="inlineStr">
        <is>
          <t>Fri</t>
        </is>
      </c>
      <c r="C35" s="6" t="inlineStr">
        <is>
          <t>Comcast</t>
        </is>
      </c>
      <c r="D35" s="6" t="inlineStr">
        <is>
          <t>2 Essential</t>
        </is>
      </c>
      <c r="E35" s="6" t="inlineStr">
        <is>
          <t>monthly</t>
        </is>
      </c>
      <c r="F35" s="11" t="n">
        <v>138.93</v>
      </c>
      <c r="G35" s="7" t="n">
        <v>138.93</v>
      </c>
      <c r="H35" s="6" t="inlineStr">
        <is>
          <t>Stated amount</t>
        </is>
      </c>
      <c r="I35" s="6" t="inlineStr">
        <is>
          <t>UNKNOWN</t>
        </is>
      </c>
      <c r="J35" s="6" t="inlineStr">
        <is>
          <t>yes</t>
        </is>
      </c>
      <c r="K35" s="6" t="inlineStr"/>
    </row>
    <row r="36">
      <c r="A36" s="5" t="n">
        <v>46374</v>
      </c>
      <c r="B36" s="6" t="inlineStr">
        <is>
          <t>Fri</t>
        </is>
      </c>
      <c r="C36" s="6" t="inlineStr">
        <is>
          <t>Lowes</t>
        </is>
      </c>
      <c r="D36" s="6" t="inlineStr">
        <is>
          <t>5 Discretionary</t>
        </is>
      </c>
      <c r="E36" s="6" t="inlineStr">
        <is>
          <t>monthly</t>
        </is>
      </c>
      <c r="F36" s="11" t="n">
        <v>126</v>
      </c>
      <c r="G36" s="7" t="n">
        <v>69</v>
      </c>
      <c r="H36" s="14" t="inlineStr">
        <is>
          <t>SUPERSEDED - see notes</t>
        </is>
      </c>
      <c r="I36" s="6" t="inlineStr">
        <is>
          <t>UNKNOWN</t>
        </is>
      </c>
      <c r="J36" s="6" t="inlineStr">
        <is>
          <t>yes</t>
        </is>
      </c>
      <c r="K36" s="6" t="inlineStr">
        <is>
          <t>122.00 - 126.00</t>
        </is>
      </c>
    </row>
    <row r="37">
      <c r="A37" s="5" t="n">
        <v>46374</v>
      </c>
      <c r="B37" s="6" t="inlineStr">
        <is>
          <t>Fri</t>
        </is>
      </c>
      <c r="C37" s="6" t="inlineStr">
        <is>
          <t>Upgrade basement</t>
        </is>
      </c>
      <c r="D37" s="6" t="inlineStr">
        <is>
          <t>3 Required debt</t>
        </is>
      </c>
      <c r="E37" s="6" t="inlineStr">
        <is>
          <t>monthly</t>
        </is>
      </c>
      <c r="F37" s="11" t="n">
        <v>86.36</v>
      </c>
      <c r="G37" s="7" t="n">
        <v>86.36</v>
      </c>
      <c r="H37" s="6" t="inlineStr">
        <is>
          <t>Stated amount</t>
        </is>
      </c>
      <c r="I37" s="12" t="inlineStr">
        <is>
          <t>FIXED</t>
        </is>
      </c>
      <c r="J37" s="6" t="inlineStr">
        <is>
          <t>yes</t>
        </is>
      </c>
      <c r="K37" s="6" t="inlineStr"/>
    </row>
    <row r="38">
      <c r="A38" s="5" t="n">
        <v>46375</v>
      </c>
      <c r="B38" s="6" t="inlineStr">
        <is>
          <t>Sat</t>
        </is>
      </c>
      <c r="C38" s="6" t="inlineStr">
        <is>
          <t>Town of Clinton water</t>
        </is>
      </c>
      <c r="D38" s="6" t="inlineStr">
        <is>
          <t>2 Essential</t>
        </is>
      </c>
      <c r="E38" s="6" t="inlineStr">
        <is>
          <t>quarterly</t>
        </is>
      </c>
      <c r="F38" s="11" t="n">
        <v>873.53</v>
      </c>
      <c r="G38" s="7" t="n">
        <v>294.03</v>
      </c>
      <c r="H38" s="14" t="inlineStr">
        <is>
          <t>SUPERSEDED - see notes</t>
        </is>
      </c>
      <c r="I38" s="12" t="inlineStr">
        <is>
          <t>FIXED</t>
        </is>
      </c>
      <c r="J38" s="6" t="inlineStr">
        <is>
          <t>no</t>
        </is>
      </c>
      <c r="K38" s="6" t="inlineStr">
        <is>
          <t>0.00 - 873.53</t>
        </is>
      </c>
    </row>
    <row r="39">
      <c r="A39" s="5" t="n">
        <v>46375</v>
      </c>
      <c r="B39" s="6" t="inlineStr">
        <is>
          <t>Sat</t>
        </is>
      </c>
      <c r="C39" s="6" t="inlineStr">
        <is>
          <t>IRS state</t>
        </is>
      </c>
      <c r="D39" s="6" t="inlineStr">
        <is>
          <t>2 Essential</t>
        </is>
      </c>
      <c r="E39" s="6" t="inlineStr">
        <is>
          <t>monthly</t>
        </is>
      </c>
      <c r="F39" s="11" t="n">
        <v>114</v>
      </c>
      <c r="G39" s="7" t="n">
        <v>114</v>
      </c>
      <c r="H39" s="6" t="inlineStr">
        <is>
          <t>Stated amount</t>
        </is>
      </c>
      <c r="I39" s="12" t="inlineStr">
        <is>
          <t>FIXED</t>
        </is>
      </c>
      <c r="J39" s="6" t="inlineStr">
        <is>
          <t>no</t>
        </is>
      </c>
      <c r="K39" s="6" t="inlineStr"/>
    </row>
    <row r="40">
      <c r="A40" s="5" t="n">
        <v>46375</v>
      </c>
      <c r="B40" s="6" t="inlineStr">
        <is>
          <t>Sat</t>
        </is>
      </c>
      <c r="C40" s="6" t="inlineStr">
        <is>
          <t>IRS federal</t>
        </is>
      </c>
      <c r="D40" s="6" t="inlineStr">
        <is>
          <t>2 Essential</t>
        </is>
      </c>
      <c r="E40" s="6" t="inlineStr">
        <is>
          <t>monthly</t>
        </is>
      </c>
      <c r="F40" s="11" t="n">
        <v>103</v>
      </c>
      <c r="G40" s="7" t="n">
        <v>103</v>
      </c>
      <c r="H40" s="6" t="inlineStr">
        <is>
          <t>Stated amount</t>
        </is>
      </c>
      <c r="I40" s="12" t="inlineStr">
        <is>
          <t>FIXED</t>
        </is>
      </c>
      <c r="J40" s="6" t="inlineStr">
        <is>
          <t>no</t>
        </is>
      </c>
      <c r="K40" s="6" t="inlineStr"/>
    </row>
    <row r="41">
      <c r="A41" s="5" t="n">
        <v>46376</v>
      </c>
      <c r="B41" s="6" t="inlineStr">
        <is>
          <t>Sun</t>
        </is>
      </c>
      <c r="C41" s="6" t="inlineStr">
        <is>
          <t>Groceries</t>
        </is>
      </c>
      <c r="D41" s="6" t="inlineStr">
        <is>
          <t>2 Essential</t>
        </is>
      </c>
      <c r="E41" s="6" t="inlineStr">
        <is>
          <t>weekly</t>
        </is>
      </c>
      <c r="F41" s="11" t="n">
        <v>319.09</v>
      </c>
      <c r="G41" s="7" t="n">
        <v>319.09</v>
      </c>
      <c r="H41" s="6" t="inlineStr">
        <is>
          <t>Stated amount</t>
        </is>
      </c>
      <c r="I41" s="12" t="inlineStr">
        <is>
          <t>FIXED</t>
        </is>
      </c>
      <c r="J41" s="6" t="inlineStr">
        <is>
          <t>no</t>
        </is>
      </c>
      <c r="K41" s="6" t="inlineStr">
        <is>
          <t>12.78 - 791.32</t>
        </is>
      </c>
    </row>
    <row r="42">
      <c r="A42" s="5" t="n">
        <v>46376</v>
      </c>
      <c r="B42" s="6" t="inlineStr">
        <is>
          <t>Sun</t>
        </is>
      </c>
      <c r="C42" s="6" t="inlineStr">
        <is>
          <t>Fuel</t>
        </is>
      </c>
      <c r="D42" s="6" t="inlineStr">
        <is>
          <t>2 Essential</t>
        </is>
      </c>
      <c r="E42" s="6" t="inlineStr">
        <is>
          <t>weekly</t>
        </is>
      </c>
      <c r="F42" s="11" t="n">
        <v>90.77</v>
      </c>
      <c r="G42" s="7" t="n">
        <v>90.77</v>
      </c>
      <c r="H42" s="6" t="inlineStr">
        <is>
          <t>Stated amount</t>
        </is>
      </c>
      <c r="I42" s="12" t="inlineStr">
        <is>
          <t>FIXED</t>
        </is>
      </c>
      <c r="J42" s="6" t="inlineStr">
        <is>
          <t>no</t>
        </is>
      </c>
      <c r="K42" s="6" t="inlineStr">
        <is>
          <t>20.00 - 447.12</t>
        </is>
      </c>
    </row>
    <row r="43">
      <c r="A43" s="5" t="n">
        <v>46378</v>
      </c>
      <c r="B43" s="6" t="inlineStr">
        <is>
          <t>Tue</t>
        </is>
      </c>
      <c r="C43" s="6" t="inlineStr">
        <is>
          <t>Chase CC United</t>
        </is>
      </c>
      <c r="D43" s="6" t="inlineStr">
        <is>
          <t>3 Required debt</t>
        </is>
      </c>
      <c r="E43" s="6" t="inlineStr">
        <is>
          <t>monthly</t>
        </is>
      </c>
      <c r="F43" s="11" t="n">
        <v>88</v>
      </c>
      <c r="G43" s="7" t="n">
        <v>46</v>
      </c>
      <c r="H43" s="14" t="inlineStr">
        <is>
          <t>SUPERSEDED - see notes</t>
        </is>
      </c>
      <c r="I43" s="6" t="inlineStr">
        <is>
          <t>UNKNOWN</t>
        </is>
      </c>
      <c r="J43" s="6" t="inlineStr">
        <is>
          <t>yes</t>
        </is>
      </c>
      <c r="K43" s="6" t="inlineStr">
        <is>
          <t>76.00 - 88.00</t>
        </is>
      </c>
    </row>
    <row r="44">
      <c r="A44" s="5" t="n">
        <v>46379</v>
      </c>
      <c r="B44" s="6" t="inlineStr">
        <is>
          <t>Wed</t>
        </is>
      </c>
      <c r="C44" s="6" t="inlineStr">
        <is>
          <t>Netflix</t>
        </is>
      </c>
      <c r="D44" s="6" t="inlineStr">
        <is>
          <t>5 Discretionary</t>
        </is>
      </c>
      <c r="E44" s="6" t="inlineStr">
        <is>
          <t>monthly</t>
        </is>
      </c>
      <c r="F44" s="11" t="n">
        <v>21.31</v>
      </c>
      <c r="G44" s="7" t="n">
        <v>21.31</v>
      </c>
      <c r="H44" s="6" t="inlineStr">
        <is>
          <t>Stated amount</t>
        </is>
      </c>
      <c r="I44" s="6" t="inlineStr">
        <is>
          <t>UNKNOWN</t>
        </is>
      </c>
      <c r="J44" s="6" t="inlineStr">
        <is>
          <t>yes</t>
        </is>
      </c>
      <c r="K44" s="6" t="inlineStr"/>
    </row>
    <row r="45">
      <c r="A45" s="5" t="n">
        <v>46380</v>
      </c>
      <c r="B45" s="6" t="inlineStr">
        <is>
          <t>Thu</t>
        </is>
      </c>
      <c r="C45" s="6" t="inlineStr">
        <is>
          <t>Kia</t>
        </is>
      </c>
      <c r="D45" s="6" t="inlineStr">
        <is>
          <t>1 Secured/critical</t>
        </is>
      </c>
      <c r="E45" s="6" t="inlineStr">
        <is>
          <t>monthly</t>
        </is>
      </c>
      <c r="F45" s="11" t="n">
        <v>742.65</v>
      </c>
      <c r="G45" s="7" t="n">
        <v>742.65</v>
      </c>
      <c r="H45" s="6" t="inlineStr">
        <is>
          <t>Stated amount</t>
        </is>
      </c>
      <c r="I45" s="12" t="inlineStr">
        <is>
          <t>FIXED</t>
        </is>
      </c>
      <c r="J45" s="6" t="inlineStr">
        <is>
          <t>yes</t>
        </is>
      </c>
      <c r="K45" s="6" t="inlineStr"/>
    </row>
    <row r="46">
      <c r="A46" s="5" t="n">
        <v>46380</v>
      </c>
      <c r="B46" s="6" t="inlineStr">
        <is>
          <t>Thu</t>
        </is>
      </c>
      <c r="C46" s="6" t="inlineStr">
        <is>
          <t>Upstart past bills (from Sep)</t>
        </is>
      </c>
      <c r="D46" s="6" t="inlineStr">
        <is>
          <t>3 Required debt</t>
        </is>
      </c>
      <c r="E46" s="6" t="inlineStr">
        <is>
          <t>monthly</t>
        </is>
      </c>
      <c r="F46" s="11" t="n">
        <v>337.61</v>
      </c>
      <c r="G46" s="7" t="n">
        <v>337.61</v>
      </c>
      <c r="H46" s="6" t="inlineStr">
        <is>
          <t>Stated amount</t>
        </is>
      </c>
      <c r="I46" s="12" t="inlineStr">
        <is>
          <t>FIXED</t>
        </is>
      </c>
      <c r="J46" s="6" t="inlineStr">
        <is>
          <t>yes</t>
        </is>
      </c>
      <c r="K46" s="6" t="inlineStr"/>
    </row>
    <row r="47">
      <c r="A47" s="5" t="n">
        <v>46383</v>
      </c>
      <c r="B47" s="6" t="inlineStr">
        <is>
          <t>Sun</t>
        </is>
      </c>
      <c r="C47" s="6" t="inlineStr">
        <is>
          <t>Groceries</t>
        </is>
      </c>
      <c r="D47" s="6" t="inlineStr">
        <is>
          <t>2 Essential</t>
        </is>
      </c>
      <c r="E47" s="6" t="inlineStr">
        <is>
          <t>weekly</t>
        </is>
      </c>
      <c r="F47" s="11" t="n">
        <v>319.09</v>
      </c>
      <c r="G47" s="7" t="n">
        <v>319.09</v>
      </c>
      <c r="H47" s="6" t="inlineStr">
        <is>
          <t>Stated amount</t>
        </is>
      </c>
      <c r="I47" s="12" t="inlineStr">
        <is>
          <t>FIXED</t>
        </is>
      </c>
      <c r="J47" s="6" t="inlineStr">
        <is>
          <t>no</t>
        </is>
      </c>
      <c r="K47" s="6" t="inlineStr">
        <is>
          <t>12.78 - 791.32</t>
        </is>
      </c>
    </row>
    <row r="48">
      <c r="A48" s="5" t="n">
        <v>46383</v>
      </c>
      <c r="B48" s="6" t="inlineStr">
        <is>
          <t>Sun</t>
        </is>
      </c>
      <c r="C48" s="6" t="inlineStr">
        <is>
          <t>Fuel</t>
        </is>
      </c>
      <c r="D48" s="6" t="inlineStr">
        <is>
          <t>2 Essential</t>
        </is>
      </c>
      <c r="E48" s="6" t="inlineStr">
        <is>
          <t>weekly</t>
        </is>
      </c>
      <c r="F48" s="11" t="n">
        <v>90.77</v>
      </c>
      <c r="G48" s="7" t="n">
        <v>90.77</v>
      </c>
      <c r="H48" s="6" t="inlineStr">
        <is>
          <t>Stated amount</t>
        </is>
      </c>
      <c r="I48" s="12" t="inlineStr">
        <is>
          <t>FIXED</t>
        </is>
      </c>
      <c r="J48" s="6" t="inlineStr">
        <is>
          <t>no</t>
        </is>
      </c>
      <c r="K48" s="6" t="inlineStr">
        <is>
          <t>20.00 - 447.12</t>
        </is>
      </c>
    </row>
    <row r="49">
      <c r="A49" s="5" t="n">
        <v>46383</v>
      </c>
      <c r="B49" s="6" t="inlineStr">
        <is>
          <t>Sun</t>
        </is>
      </c>
      <c r="C49" s="6" t="inlineStr">
        <is>
          <t>Barclay Old Navy</t>
        </is>
      </c>
      <c r="D49" s="6" t="inlineStr">
        <is>
          <t>3 Required debt</t>
        </is>
      </c>
      <c r="E49" s="6" t="inlineStr">
        <is>
          <t>monthly</t>
        </is>
      </c>
      <c r="F49" s="11" t="n">
        <v>84.78</v>
      </c>
      <c r="G49" s="7" t="n">
        <v>60.74</v>
      </c>
      <c r="H49" s="13" t="inlineStr">
        <is>
          <t>Forecast at worst seen</t>
        </is>
      </c>
      <c r="I49" s="6" t="inlineStr">
        <is>
          <t>UNKNOWN</t>
        </is>
      </c>
      <c r="J49" s="6" t="inlineStr">
        <is>
          <t>yes</t>
        </is>
      </c>
      <c r="K49" s="6" t="inlineStr">
        <is>
          <t>52.98 - 84.78</t>
        </is>
      </c>
    </row>
    <row r="50">
      <c r="A50" s="5" t="n">
        <v>46384</v>
      </c>
      <c r="B50" s="6" t="inlineStr">
        <is>
          <t>Mon</t>
        </is>
      </c>
      <c r="C50" s="6" t="inlineStr">
        <is>
          <t>Mortgage</t>
        </is>
      </c>
      <c r="D50" s="6" t="inlineStr">
        <is>
          <t>1 Secured/critical</t>
        </is>
      </c>
      <c r="E50" s="6" t="inlineStr">
        <is>
          <t>biweekly</t>
        </is>
      </c>
      <c r="F50" s="11" t="n">
        <v>1801.62</v>
      </c>
      <c r="G50" s="7" t="n">
        <v>1801.62</v>
      </c>
      <c r="H50" s="6" t="inlineStr">
        <is>
          <t>Stated amount</t>
        </is>
      </c>
      <c r="I50" s="12" t="inlineStr">
        <is>
          <t>FIXED</t>
        </is>
      </c>
      <c r="J50" s="6" t="inlineStr">
        <is>
          <t>no</t>
        </is>
      </c>
      <c r="K50" s="6" t="inlineStr"/>
    </row>
    <row r="51">
      <c r="A51" s="5" t="n">
        <v>46385</v>
      </c>
      <c r="B51" s="6" t="inlineStr">
        <is>
          <t>Tue</t>
        </is>
      </c>
      <c r="C51" s="6" t="inlineStr">
        <is>
          <t>Xfinity Mobile</t>
        </is>
      </c>
      <c r="D51" s="6" t="inlineStr">
        <is>
          <t>2 Essential</t>
        </is>
      </c>
      <c r="E51" s="6" t="inlineStr">
        <is>
          <t>monthly</t>
        </is>
      </c>
      <c r="F51" s="11" t="n">
        <v>88.81999999999999</v>
      </c>
      <c r="G51" s="7" t="n">
        <v>88.81999999999999</v>
      </c>
      <c r="H51" s="6" t="inlineStr">
        <is>
          <t>Stated amount</t>
        </is>
      </c>
      <c r="I51" s="6" t="inlineStr">
        <is>
          <t>UNKNOWN</t>
        </is>
      </c>
      <c r="J51" s="6" t="inlineStr">
        <is>
          <t>yes</t>
        </is>
      </c>
      <c r="K51" s="6" t="inlineStr"/>
    </row>
    <row r="52">
      <c r="A52" s="5" t="n">
        <v>46385</v>
      </c>
      <c r="B52" s="6" t="inlineStr">
        <is>
          <t>Tue</t>
        </is>
      </c>
      <c r="C52" s="6" t="inlineStr">
        <is>
          <t>Affirm</t>
        </is>
      </c>
      <c r="D52" s="6" t="inlineStr">
        <is>
          <t>3 Required debt</t>
        </is>
      </c>
      <c r="E52" s="6" t="inlineStr">
        <is>
          <t>monthly</t>
        </is>
      </c>
      <c r="F52" s="11" t="n">
        <v>73.06999999999999</v>
      </c>
      <c r="G52" s="7" t="n">
        <v>73.06999999999999</v>
      </c>
      <c r="H52" s="6" t="inlineStr">
        <is>
          <t>Stated amount</t>
        </is>
      </c>
      <c r="I52" s="6" t="inlineStr">
        <is>
          <t>UNKNOWN</t>
        </is>
      </c>
      <c r="J52" s="6" t="inlineStr">
        <is>
          <t>yes</t>
        </is>
      </c>
      <c r="K52" s="6" t="inlineStr"/>
    </row>
    <row r="53">
      <c r="A53" s="8" t="n"/>
      <c r="B53" s="8" t="n"/>
      <c r="C53" s="9" t="inlineStr">
        <is>
          <t>Total money out</t>
        </is>
      </c>
      <c r="D53" s="8" t="n"/>
      <c r="E53" s="8" t="n"/>
      <c r="F53" s="10">
        <f>SUM(F15:F52)</f>
        <v/>
      </c>
      <c r="G53" s="10">
        <f>SUM(G15:G52)</f>
        <v/>
      </c>
      <c r="H53" s="8" t="n"/>
      <c r="I53" s="8" t="n"/>
      <c r="J53" s="8" t="n"/>
      <c r="K53" s="8" t="n"/>
    </row>
    <row r="55">
      <c r="A55" s="3" t="inlineStr">
        <is>
          <t>MONTH SUMMARY</t>
        </is>
      </c>
    </row>
    <row r="56">
      <c r="C56" s="6" t="inlineStr">
        <is>
          <t>Money in</t>
        </is>
      </c>
      <c r="D56" s="15" t="n"/>
      <c r="E56" s="15" t="n"/>
      <c r="F56" s="16">
        <f>E11</f>
        <v/>
      </c>
    </row>
    <row r="57">
      <c r="C57" s="6" t="inlineStr">
        <is>
          <t>Money out (budget)</t>
        </is>
      </c>
      <c r="D57" s="15" t="n"/>
      <c r="E57" s="15" t="n"/>
      <c r="F57" s="16">
        <f>F53</f>
        <v/>
      </c>
    </row>
    <row r="58">
      <c r="C58" s="9" t="inlineStr">
        <is>
          <t>Net for the month</t>
        </is>
      </c>
      <c r="D58" s="8" t="n"/>
      <c r="E58" s="8" t="n"/>
      <c r="F58" s="10">
        <f>E11-F53</f>
        <v/>
      </c>
    </row>
    <row r="59">
      <c r="C59" s="6" t="inlineStr">
        <is>
          <t>Money out at stored amounts</t>
        </is>
      </c>
      <c r="D59" s="15" t="n"/>
      <c r="E59" s="15" t="n"/>
      <c r="F59" s="16">
        <f>G53</f>
        <v/>
      </c>
    </row>
    <row r="60">
      <c r="C60" s="6" t="inlineStr">
        <is>
          <t>Over-forecast vs stored</t>
        </is>
      </c>
      <c r="D60" s="15" t="n"/>
      <c r="E60" s="15" t="n"/>
      <c r="F60" s="16">
        <f>F53-G53</f>
        <v/>
      </c>
    </row>
    <row r="62">
      <c r="A62" s="3" t="inlineStr">
        <is>
          <t>NOTES AND ASSUMPTIONS</t>
        </is>
      </c>
    </row>
    <row r="63">
      <c r="A63" s="17" t="inlineStr">
        <is>
          <t>- INCOME SWITCHED OFF: Branchburg BOE payroll (2,829.31 biweekly) is recorded in income.json but NOT counted anywhere in this workbook. If it is actually being received, every monthly net figure here is understated by that amount.</t>
        </is>
      </c>
    </row>
    <row r="64">
      <c r="A64" s="17" t="inlineStr">
        <is>
          <t>- Budget vs Stored: 'Budget' is what the engine forecasts for that date; 'Stored' is the figure recorded in bills.json.</t>
        </is>
      </c>
    </row>
    <row r="65">
      <c r="A65" s="17" t="inlineStr">
        <is>
          <t>- Seasonal profile: gas and electric carry a month-of-year profile built from recent years of statements, so their budget figure changes every month. Neither figure is wrong.</t>
        </is>
      </c>
    </row>
    <row r="66">
      <c r="A66" s="17" t="inlineStr">
        <is>
          <t>- Forecast at worst seen: a variable bill landing monthly or less often is budgeted at the top of its observed range, deliberately, because under-forecasting an outflow is what causes an overdraft.</t>
        </is>
      </c>
    </row>
    <row r="67">
      <c r="A67" s="17" t="inlineStr">
        <is>
          <t>- SUPERSEDED: the engine is forecasting ABOVE an amount the household renegotiated, because the observed maximum predates the correction. Affects four cards and the water bill. This is a defect, not a rule - the Stored column is the agreed figure.</t>
        </is>
      </c>
    </row>
    <row r="68">
      <c r="A68" s="17" t="inlineStr">
        <is>
          <t>- Movability: FIXED means secured or recorded as non-deferrable. UNKNOWN means nothing records how late the payment may safely be, so no date change can be recommended without confirming it.</t>
        </is>
      </c>
    </row>
    <row r="69">
      <c r="A69" s="17" t="inlineStr">
        <is>
          <t>- Weekly items (groceries, fuel) appear once per occurrence, so a five-week month legitimately shows five rows.</t>
        </is>
      </c>
    </row>
    <row r="70">
      <c r="A70" s="17" t="inlineStr">
        <is>
          <t>- Excluded as ended or paid off, kept for history: Affirm large, Trilogy Lacrosse.</t>
        </is>
      </c>
    </row>
  </sheetData>
  <mergeCells count="10">
    <mergeCell ref="A69:K69"/>
    <mergeCell ref="A64:K64"/>
    <mergeCell ref="A65:K65"/>
    <mergeCell ref="A2:K2"/>
    <mergeCell ref="A63:K63"/>
    <mergeCell ref="A68:K68"/>
    <mergeCell ref="A66:K66"/>
    <mergeCell ref="A1:K1"/>
    <mergeCell ref="A70:K70"/>
    <mergeCell ref="A67:K67"/>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K72"/>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January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46393</v>
      </c>
      <c r="B6" s="6" t="inlineStr">
        <is>
          <t>Wed</t>
        </is>
      </c>
      <c r="C6" s="6" t="inlineStr">
        <is>
          <t>Insight Global payroll</t>
        </is>
      </c>
      <c r="D6" s="6" t="inlineStr">
        <is>
          <t>weekly</t>
        </is>
      </c>
      <c r="E6" s="7" t="n">
        <v>2016.06</v>
      </c>
      <c r="F6" s="6" t="inlineStr">
        <is>
          <t>UNVERIFIED - flagged needs_review</t>
        </is>
      </c>
    </row>
    <row r="7">
      <c r="A7" s="5" t="n">
        <v>46400</v>
      </c>
      <c r="B7" s="6" t="inlineStr">
        <is>
          <t>Wed</t>
        </is>
      </c>
      <c r="C7" s="6" t="inlineStr">
        <is>
          <t>Insight Global payroll</t>
        </is>
      </c>
      <c r="D7" s="6" t="inlineStr">
        <is>
          <t>weekly</t>
        </is>
      </c>
      <c r="E7" s="7" t="n">
        <v>2016.06</v>
      </c>
      <c r="F7" s="6" t="inlineStr">
        <is>
          <t>UNVERIFIED - flagged needs_review</t>
        </is>
      </c>
    </row>
    <row r="8">
      <c r="A8" s="5" t="n">
        <v>46407</v>
      </c>
      <c r="B8" s="6" t="inlineStr">
        <is>
          <t>Wed</t>
        </is>
      </c>
      <c r="C8" s="6" t="inlineStr">
        <is>
          <t>Insight Global payroll</t>
        </is>
      </c>
      <c r="D8" s="6" t="inlineStr">
        <is>
          <t>weekly</t>
        </is>
      </c>
      <c r="E8" s="7" t="n">
        <v>2016.06</v>
      </c>
      <c r="F8" s="6" t="inlineStr">
        <is>
          <t>UNVERIFIED - flagged needs_review</t>
        </is>
      </c>
    </row>
    <row r="9">
      <c r="A9" s="5" t="n">
        <v>46414</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46390</v>
      </c>
      <c r="B14" s="6" t="inlineStr">
        <is>
          <t>Sun</t>
        </is>
      </c>
      <c r="C14" s="6" t="inlineStr">
        <is>
          <t>Groceries</t>
        </is>
      </c>
      <c r="D14" s="6" t="inlineStr">
        <is>
          <t>2 Essential</t>
        </is>
      </c>
      <c r="E14" s="6" t="inlineStr">
        <is>
          <t>weekly</t>
        </is>
      </c>
      <c r="F14" s="11" t="n">
        <v>319.09</v>
      </c>
      <c r="G14" s="7" t="n">
        <v>319.09</v>
      </c>
      <c r="H14" s="6" t="inlineStr">
        <is>
          <t>Stated amount</t>
        </is>
      </c>
      <c r="I14" s="12" t="inlineStr">
        <is>
          <t>FIXED</t>
        </is>
      </c>
      <c r="J14" s="6" t="inlineStr">
        <is>
          <t>no</t>
        </is>
      </c>
      <c r="K14" s="6" t="inlineStr">
        <is>
          <t>12.78 - 791.32</t>
        </is>
      </c>
    </row>
    <row r="15">
      <c r="A15" s="5" t="n">
        <v>46390</v>
      </c>
      <c r="B15" s="6" t="inlineStr">
        <is>
          <t>Sun</t>
        </is>
      </c>
      <c r="C15" s="6" t="inlineStr">
        <is>
          <t>JCP&amp;L / FirstEnergy</t>
        </is>
      </c>
      <c r="D15" s="6" t="inlineStr">
        <is>
          <t>2 Essential</t>
        </is>
      </c>
      <c r="E15" s="6" t="inlineStr">
        <is>
          <t>monthly</t>
        </is>
      </c>
      <c r="F15" s="11" t="n">
        <v>179.56</v>
      </c>
      <c r="G15" s="7" t="n">
        <v>418.98</v>
      </c>
      <c r="H15" s="6" t="inlineStr">
        <is>
          <t>Seasonal profile</t>
        </is>
      </c>
      <c r="I15" s="12" t="inlineStr">
        <is>
          <t>FIXED</t>
        </is>
      </c>
      <c r="J15" s="6" t="inlineStr">
        <is>
          <t>no</t>
        </is>
      </c>
      <c r="K15" s="6" t="inlineStr">
        <is>
          <t>130.28 - 489.87</t>
        </is>
      </c>
    </row>
    <row r="16">
      <c r="A16" s="5" t="n">
        <v>46390</v>
      </c>
      <c r="B16" s="6" t="inlineStr">
        <is>
          <t>Sun</t>
        </is>
      </c>
      <c r="C16" s="6" t="inlineStr">
        <is>
          <t>Fuel</t>
        </is>
      </c>
      <c r="D16" s="6" t="inlineStr">
        <is>
          <t>2 Essential</t>
        </is>
      </c>
      <c r="E16" s="6" t="inlineStr">
        <is>
          <t>weekly</t>
        </is>
      </c>
      <c r="F16" s="11" t="n">
        <v>90.77</v>
      </c>
      <c r="G16" s="7" t="n">
        <v>90.77</v>
      </c>
      <c r="H16" s="6" t="inlineStr">
        <is>
          <t>Stated amount</t>
        </is>
      </c>
      <c r="I16" s="12" t="inlineStr">
        <is>
          <t>FIXED</t>
        </is>
      </c>
      <c r="J16" s="6" t="inlineStr">
        <is>
          <t>no</t>
        </is>
      </c>
      <c r="K16" s="6" t="inlineStr">
        <is>
          <t>20.00 - 447.12</t>
        </is>
      </c>
    </row>
    <row r="17">
      <c r="A17" s="5" t="n">
        <v>46391</v>
      </c>
      <c r="B17" s="6" t="inlineStr">
        <is>
          <t>Mon</t>
        </is>
      </c>
      <c r="C17" s="6" t="inlineStr">
        <is>
          <t>Culligan</t>
        </is>
      </c>
      <c r="D17" s="6" t="inlineStr">
        <is>
          <t>5 Discretionary</t>
        </is>
      </c>
      <c r="E17" s="6" t="inlineStr">
        <is>
          <t>monthly</t>
        </is>
      </c>
      <c r="F17" s="11" t="n">
        <v>307.7</v>
      </c>
      <c r="G17" s="7" t="n">
        <v>40.39</v>
      </c>
      <c r="H17" s="13" t="inlineStr">
        <is>
          <t>Forecast at worst seen</t>
        </is>
      </c>
      <c r="I17" s="6" t="inlineStr">
        <is>
          <t>UNKNOWN</t>
        </is>
      </c>
      <c r="J17" s="6" t="inlineStr">
        <is>
          <t>no</t>
        </is>
      </c>
      <c r="K17" s="6" t="inlineStr">
        <is>
          <t>40.39 - 307.70</t>
        </is>
      </c>
    </row>
    <row r="18">
      <c r="A18" s="5" t="n">
        <v>46391</v>
      </c>
      <c r="B18" s="6" t="inlineStr">
        <is>
          <t>Mon</t>
        </is>
      </c>
      <c r="C18" s="6" t="inlineStr">
        <is>
          <t>TJX Rewards</t>
        </is>
      </c>
      <c r="D18" s="6" t="inlineStr">
        <is>
          <t>5 Discretionary</t>
        </is>
      </c>
      <c r="E18" s="6" t="inlineStr">
        <is>
          <t>monthly</t>
        </is>
      </c>
      <c r="F18" s="11" t="n">
        <v>36</v>
      </c>
      <c r="G18" s="7" t="n">
        <v>36</v>
      </c>
      <c r="H18" s="6" t="inlineStr">
        <is>
          <t>Stated amount</t>
        </is>
      </c>
      <c r="I18" s="6" t="inlineStr">
        <is>
          <t>UNKNOWN</t>
        </is>
      </c>
      <c r="J18" s="6" t="inlineStr">
        <is>
          <t>yes</t>
        </is>
      </c>
      <c r="K18" s="6" t="inlineStr"/>
    </row>
    <row r="19">
      <c r="A19" s="5" t="n">
        <v>46393</v>
      </c>
      <c r="B19" s="6" t="inlineStr">
        <is>
          <t>Wed</t>
        </is>
      </c>
      <c r="C19" s="6" t="inlineStr">
        <is>
          <t>One Main loan</t>
        </is>
      </c>
      <c r="D19" s="6" t="inlineStr">
        <is>
          <t>3 Required debt</t>
        </is>
      </c>
      <c r="E19" s="6" t="inlineStr">
        <is>
          <t>monthly</t>
        </is>
      </c>
      <c r="F19" s="11" t="n">
        <v>388.24</v>
      </c>
      <c r="G19" s="7" t="n">
        <v>388.24</v>
      </c>
      <c r="H19" s="6" t="inlineStr">
        <is>
          <t>Stated amount</t>
        </is>
      </c>
      <c r="I19" s="12" t="inlineStr">
        <is>
          <t>FIXED</t>
        </is>
      </c>
      <c r="J19" s="6" t="inlineStr">
        <is>
          <t>yes</t>
        </is>
      </c>
      <c r="K19" s="6" t="inlineStr"/>
    </row>
    <row r="20">
      <c r="A20" s="5" t="n">
        <v>46394</v>
      </c>
      <c r="B20" s="6" t="inlineStr">
        <is>
          <t>Thu</t>
        </is>
      </c>
      <c r="C20" s="6" t="inlineStr">
        <is>
          <t>Republic trash Q1</t>
        </is>
      </c>
      <c r="D20" s="6" t="inlineStr">
        <is>
          <t>4 Scheduled</t>
        </is>
      </c>
      <c r="E20" s="6" t="inlineStr">
        <is>
          <t>once</t>
        </is>
      </c>
      <c r="F20" s="11" t="n">
        <v>177.3</v>
      </c>
      <c r="G20" s="7" t="n">
        <v>177.3</v>
      </c>
      <c r="H20" s="6" t="inlineStr">
        <is>
          <t>Stated amount</t>
        </is>
      </c>
      <c r="I20" s="6" t="inlineStr">
        <is>
          <t>UNKNOWN</t>
        </is>
      </c>
      <c r="J20" s="6" t="inlineStr">
        <is>
          <t>no</t>
        </is>
      </c>
      <c r="K20" s="6" t="inlineStr">
        <is>
          <t>168.12 - 177.30</t>
        </is>
      </c>
    </row>
    <row r="21">
      <c r="A21" s="5" t="n">
        <v>46395</v>
      </c>
      <c r="B21" s="6" t="inlineStr">
        <is>
          <t>Fri</t>
        </is>
      </c>
      <c r="C21" s="6" t="inlineStr">
        <is>
          <t>PNC</t>
        </is>
      </c>
      <c r="D21" s="6" t="inlineStr">
        <is>
          <t>3 Required debt</t>
        </is>
      </c>
      <c r="E21" s="6" t="inlineStr">
        <is>
          <t>monthly</t>
        </is>
      </c>
      <c r="F21" s="11" t="n">
        <v>150</v>
      </c>
      <c r="G21" s="7" t="n">
        <v>70</v>
      </c>
      <c r="H21" s="13" t="inlineStr">
        <is>
          <t>Forecast at worst seen</t>
        </is>
      </c>
      <c r="I21" s="6" t="inlineStr">
        <is>
          <t>UNKNOWN</t>
        </is>
      </c>
      <c r="J21" s="6" t="inlineStr">
        <is>
          <t>no</t>
        </is>
      </c>
      <c r="K21" s="6" t="inlineStr">
        <is>
          <t>70.00 - 150.00</t>
        </is>
      </c>
    </row>
    <row r="22">
      <c r="A22" s="5" t="n">
        <v>46397</v>
      </c>
      <c r="B22" s="6" t="inlineStr">
        <is>
          <t>Sun</t>
        </is>
      </c>
      <c r="C22" s="6" t="inlineStr">
        <is>
          <t>Groceries</t>
        </is>
      </c>
      <c r="D22" s="6" t="inlineStr">
        <is>
          <t>2 Essential</t>
        </is>
      </c>
      <c r="E22" s="6" t="inlineStr">
        <is>
          <t>weekly</t>
        </is>
      </c>
      <c r="F22" s="11" t="n">
        <v>319.09</v>
      </c>
      <c r="G22" s="7" t="n">
        <v>319.09</v>
      </c>
      <c r="H22" s="6" t="inlineStr">
        <is>
          <t>Stated amount</t>
        </is>
      </c>
      <c r="I22" s="12" t="inlineStr">
        <is>
          <t>FIXED</t>
        </is>
      </c>
      <c r="J22" s="6" t="inlineStr">
        <is>
          <t>no</t>
        </is>
      </c>
      <c r="K22" s="6" t="inlineStr">
        <is>
          <t>12.78 - 791.32</t>
        </is>
      </c>
    </row>
    <row r="23">
      <c r="A23" s="5" t="n">
        <v>46397</v>
      </c>
      <c r="B23" s="6" t="inlineStr">
        <is>
          <t>Sun</t>
        </is>
      </c>
      <c r="C23" s="6" t="inlineStr">
        <is>
          <t>Fuel</t>
        </is>
      </c>
      <c r="D23" s="6" t="inlineStr">
        <is>
          <t>2 Essential</t>
        </is>
      </c>
      <c r="E23" s="6" t="inlineStr">
        <is>
          <t>weekly</t>
        </is>
      </c>
      <c r="F23" s="11" t="n">
        <v>90.77</v>
      </c>
      <c r="G23" s="7" t="n">
        <v>90.77</v>
      </c>
      <c r="H23" s="6" t="inlineStr">
        <is>
          <t>Stated amount</t>
        </is>
      </c>
      <c r="I23" s="12" t="inlineStr">
        <is>
          <t>FIXED</t>
        </is>
      </c>
      <c r="J23" s="6" t="inlineStr">
        <is>
          <t>no</t>
        </is>
      </c>
      <c r="K23" s="6" t="inlineStr">
        <is>
          <t>20.00 - 447.12</t>
        </is>
      </c>
    </row>
    <row r="24">
      <c r="A24" s="5" t="n">
        <v>46398</v>
      </c>
      <c r="B24" s="6" t="inlineStr">
        <is>
          <t>Mon</t>
        </is>
      </c>
      <c r="C24" s="6" t="inlineStr">
        <is>
          <t>Mortgage</t>
        </is>
      </c>
      <c r="D24" s="6" t="inlineStr">
        <is>
          <t>1 Secured/critical</t>
        </is>
      </c>
      <c r="E24" s="6" t="inlineStr">
        <is>
          <t>biweekly</t>
        </is>
      </c>
      <c r="F24" s="11" t="n">
        <v>1801.62</v>
      </c>
      <c r="G24" s="7" t="n">
        <v>1801.62</v>
      </c>
      <c r="H24" s="6" t="inlineStr">
        <is>
          <t>Stated amount</t>
        </is>
      </c>
      <c r="I24" s="12" t="inlineStr">
        <is>
          <t>FIXED</t>
        </is>
      </c>
      <c r="J24" s="6" t="inlineStr">
        <is>
          <t>no</t>
        </is>
      </c>
      <c r="K24" s="6" t="inlineStr"/>
    </row>
    <row r="25">
      <c r="A25" s="5" t="n">
        <v>46398</v>
      </c>
      <c r="B25" s="6" t="inlineStr">
        <is>
          <t>Mon</t>
        </is>
      </c>
      <c r="C25" s="6" t="inlineStr">
        <is>
          <t>Elizabethtown Gas</t>
        </is>
      </c>
      <c r="D25" s="6" t="inlineStr">
        <is>
          <t>2 Essential</t>
        </is>
      </c>
      <c r="E25" s="6" t="inlineStr">
        <is>
          <t>monthly</t>
        </is>
      </c>
      <c r="F25" s="11" t="n">
        <v>370.38</v>
      </c>
      <c r="G25" s="7" t="n">
        <v>54.03</v>
      </c>
      <c r="H25" s="6" t="inlineStr">
        <is>
          <t>Seasonal profile</t>
        </is>
      </c>
      <c r="I25" s="12" t="inlineStr">
        <is>
          <t>FIXED</t>
        </is>
      </c>
      <c r="J25" s="6" t="inlineStr">
        <is>
          <t>no</t>
        </is>
      </c>
      <c r="K25" s="6" t="inlineStr">
        <is>
          <t>54.03 - 550.83</t>
        </is>
      </c>
    </row>
    <row r="26">
      <c r="A26" s="5" t="n">
        <v>46398</v>
      </c>
      <c r="B26" s="6" t="inlineStr">
        <is>
          <t>Mon</t>
        </is>
      </c>
      <c r="C26" s="6" t="inlineStr">
        <is>
          <t>T-Mobile Lia</t>
        </is>
      </c>
      <c r="D26" s="6" t="inlineStr">
        <is>
          <t>2 Essential</t>
        </is>
      </c>
      <c r="E26" s="6" t="inlineStr">
        <is>
          <t>monthly</t>
        </is>
      </c>
      <c r="F26" s="11" t="n">
        <v>20.75</v>
      </c>
      <c r="G26" s="7" t="n">
        <v>20.75</v>
      </c>
      <c r="H26" s="6" t="inlineStr">
        <is>
          <t>Stated amount</t>
        </is>
      </c>
      <c r="I26" s="6" t="inlineStr">
        <is>
          <t>UNKNOWN</t>
        </is>
      </c>
      <c r="J26" s="6" t="inlineStr">
        <is>
          <t>yes</t>
        </is>
      </c>
      <c r="K26" s="6" t="inlineStr"/>
    </row>
    <row r="27">
      <c r="A27" s="5" t="n">
        <v>46399</v>
      </c>
      <c r="B27" s="6" t="inlineStr">
        <is>
          <t>Tue</t>
        </is>
      </c>
      <c r="C27" s="6" t="inlineStr">
        <is>
          <t>NJ Total Select 2of4</t>
        </is>
      </c>
      <c r="D27" s="6" t="inlineStr">
        <is>
          <t>4 Scheduled</t>
        </is>
      </c>
      <c r="E27" s="6" t="inlineStr">
        <is>
          <t>once</t>
        </is>
      </c>
      <c r="F27" s="11" t="n">
        <v>517.5</v>
      </c>
      <c r="G27" s="7" t="n">
        <v>517.5</v>
      </c>
      <c r="H27" s="6" t="inlineStr">
        <is>
          <t>Stated amount</t>
        </is>
      </c>
      <c r="I27" s="6" t="inlineStr">
        <is>
          <t>UNKNOWN</t>
        </is>
      </c>
      <c r="J27" s="6" t="inlineStr">
        <is>
          <t>no</t>
        </is>
      </c>
      <c r="K27" s="6" t="inlineStr"/>
    </row>
    <row r="28">
      <c r="A28" s="5" t="n">
        <v>46399</v>
      </c>
      <c r="B28" s="6" t="inlineStr">
        <is>
          <t>Tue</t>
        </is>
      </c>
      <c r="C28" s="6" t="inlineStr">
        <is>
          <t>Hanover Auto</t>
        </is>
      </c>
      <c r="D28" s="6" t="inlineStr">
        <is>
          <t>2 Essential</t>
        </is>
      </c>
      <c r="E28" s="6" t="inlineStr">
        <is>
          <t>monthly</t>
        </is>
      </c>
      <c r="F28" s="11" t="n">
        <v>513.27</v>
      </c>
      <c r="G28" s="7" t="n">
        <v>513.27</v>
      </c>
      <c r="H28" s="6" t="inlineStr">
        <is>
          <t>Stated amount</t>
        </is>
      </c>
      <c r="I28" s="12" t="inlineStr">
        <is>
          <t>FIXED</t>
        </is>
      </c>
      <c r="J28" s="6" t="inlineStr">
        <is>
          <t>no</t>
        </is>
      </c>
      <c r="K28" s="6" t="inlineStr"/>
    </row>
    <row r="29">
      <c r="A29" s="5" t="n">
        <v>46399</v>
      </c>
      <c r="B29" s="6" t="inlineStr">
        <is>
          <t>Tue</t>
        </is>
      </c>
      <c r="C29" s="6" t="inlineStr">
        <is>
          <t>Comenity</t>
        </is>
      </c>
      <c r="D29" s="6" t="inlineStr">
        <is>
          <t>3 Required debt</t>
        </is>
      </c>
      <c r="E29" s="6" t="inlineStr">
        <is>
          <t>monthly</t>
        </is>
      </c>
      <c r="F29" s="11" t="n">
        <v>65</v>
      </c>
      <c r="G29" s="7" t="n">
        <v>50</v>
      </c>
      <c r="H29" s="13" t="inlineStr">
        <is>
          <t>Forecast at worst seen</t>
        </is>
      </c>
      <c r="I29" s="6" t="inlineStr">
        <is>
          <t>UNKNOWN</t>
        </is>
      </c>
      <c r="J29" s="6" t="inlineStr">
        <is>
          <t>no</t>
        </is>
      </c>
      <c r="K29" s="6" t="inlineStr">
        <is>
          <t>40.00 - 65.00</t>
        </is>
      </c>
    </row>
    <row r="30">
      <c r="A30" s="5" t="n">
        <v>46401</v>
      </c>
      <c r="B30" s="6" t="inlineStr">
        <is>
          <t>Thu</t>
        </is>
      </c>
      <c r="C30" s="6" t="inlineStr">
        <is>
          <t>Home Depot</t>
        </is>
      </c>
      <c r="D30" s="6" t="inlineStr">
        <is>
          <t>5 Discretionary</t>
        </is>
      </c>
      <c r="E30" s="6" t="inlineStr">
        <is>
          <t>monthly</t>
        </is>
      </c>
      <c r="F30" s="11" t="n">
        <v>100</v>
      </c>
      <c r="G30" s="7" t="n">
        <v>100</v>
      </c>
      <c r="H30" s="6" t="inlineStr">
        <is>
          <t>Stated amount</t>
        </is>
      </c>
      <c r="I30" s="6" t="inlineStr">
        <is>
          <t>UNKNOWN</t>
        </is>
      </c>
      <c r="J30" s="6" t="inlineStr">
        <is>
          <t>yes</t>
        </is>
      </c>
      <c r="K30" s="6" t="inlineStr">
        <is>
          <t>32.70 - 100.00</t>
        </is>
      </c>
    </row>
    <row r="31">
      <c r="A31" s="5" t="n">
        <v>46402</v>
      </c>
      <c r="B31" s="6" t="inlineStr">
        <is>
          <t>Fri</t>
        </is>
      </c>
      <c r="C31" s="6" t="inlineStr">
        <is>
          <t>Loew &amp; Patel braces</t>
        </is>
      </c>
      <c r="D31" s="6" t="inlineStr">
        <is>
          <t>4 Scheduled</t>
        </is>
      </c>
      <c r="E31" s="6" t="inlineStr">
        <is>
          <t>monthly</t>
        </is>
      </c>
      <c r="F31" s="11" t="n">
        <v>400</v>
      </c>
      <c r="G31" s="7" t="n">
        <v>400</v>
      </c>
      <c r="H31" s="6" t="inlineStr">
        <is>
          <t>Stated amount</t>
        </is>
      </c>
      <c r="I31" s="6" t="inlineStr">
        <is>
          <t>UNKNOWN</t>
        </is>
      </c>
      <c r="J31" s="6" t="inlineStr">
        <is>
          <t>no</t>
        </is>
      </c>
      <c r="K31" s="6" t="inlineStr">
        <is>
          <t>15.00 - 0.00</t>
        </is>
      </c>
    </row>
    <row r="32">
      <c r="A32" s="5" t="n">
        <v>46402</v>
      </c>
      <c r="B32" s="6" t="inlineStr">
        <is>
          <t>Fri</t>
        </is>
      </c>
      <c r="C32" s="6" t="inlineStr">
        <is>
          <t>Upstart debt consol</t>
        </is>
      </c>
      <c r="D32" s="6" t="inlineStr">
        <is>
          <t>3 Required debt</t>
        </is>
      </c>
      <c r="E32" s="6" t="inlineStr">
        <is>
          <t>monthly</t>
        </is>
      </c>
      <c r="F32" s="11" t="n">
        <v>161</v>
      </c>
      <c r="G32" s="7" t="n">
        <v>161</v>
      </c>
      <c r="H32" s="6" t="inlineStr">
        <is>
          <t>Stated amount</t>
        </is>
      </c>
      <c r="I32" s="12" t="inlineStr">
        <is>
          <t>FIXED</t>
        </is>
      </c>
      <c r="J32" s="6" t="inlineStr">
        <is>
          <t>yes</t>
        </is>
      </c>
      <c r="K32" s="6" t="inlineStr"/>
    </row>
    <row r="33">
      <c r="A33" s="5" t="n">
        <v>46404</v>
      </c>
      <c r="B33" s="6" t="inlineStr">
        <is>
          <t>Sun</t>
        </is>
      </c>
      <c r="C33" s="6" t="inlineStr">
        <is>
          <t>Groceries</t>
        </is>
      </c>
      <c r="D33" s="6" t="inlineStr">
        <is>
          <t>2 Essential</t>
        </is>
      </c>
      <c r="E33" s="6" t="inlineStr">
        <is>
          <t>weekly</t>
        </is>
      </c>
      <c r="F33" s="11" t="n">
        <v>319.09</v>
      </c>
      <c r="G33" s="7" t="n">
        <v>319.09</v>
      </c>
      <c r="H33" s="6" t="inlineStr">
        <is>
          <t>Stated amount</t>
        </is>
      </c>
      <c r="I33" s="12" t="inlineStr">
        <is>
          <t>FIXED</t>
        </is>
      </c>
      <c r="J33" s="6" t="inlineStr">
        <is>
          <t>no</t>
        </is>
      </c>
      <c r="K33" s="6" t="inlineStr">
        <is>
          <t>12.78 - 791.32</t>
        </is>
      </c>
    </row>
    <row r="34">
      <c r="A34" s="5" t="n">
        <v>46404</v>
      </c>
      <c r="B34" s="6" t="inlineStr">
        <is>
          <t>Sun</t>
        </is>
      </c>
      <c r="C34" s="6" t="inlineStr">
        <is>
          <t>Capital One CC</t>
        </is>
      </c>
      <c r="D34" s="6" t="inlineStr">
        <is>
          <t>3 Required debt</t>
        </is>
      </c>
      <c r="E34" s="6" t="inlineStr">
        <is>
          <t>monthly</t>
        </is>
      </c>
      <c r="F34" s="11" t="n">
        <v>163</v>
      </c>
      <c r="G34" s="7" t="n">
        <v>105</v>
      </c>
      <c r="H34" s="14" t="inlineStr">
        <is>
          <t>SUPERSEDED - see notes</t>
        </is>
      </c>
      <c r="I34" s="6" t="inlineStr">
        <is>
          <t>UNKNOWN</t>
        </is>
      </c>
      <c r="J34" s="6" t="inlineStr">
        <is>
          <t>yes</t>
        </is>
      </c>
      <c r="K34" s="6" t="inlineStr">
        <is>
          <t>154.00 - 163.00</t>
        </is>
      </c>
    </row>
    <row r="35">
      <c r="A35" s="5" t="n">
        <v>46404</v>
      </c>
      <c r="B35" s="6" t="inlineStr">
        <is>
          <t>Sun</t>
        </is>
      </c>
      <c r="C35" s="6" t="inlineStr">
        <is>
          <t>Chase CC Amazon</t>
        </is>
      </c>
      <c r="D35" s="6" t="inlineStr">
        <is>
          <t>3 Required debt</t>
        </is>
      </c>
      <c r="E35" s="6" t="inlineStr">
        <is>
          <t>monthly</t>
        </is>
      </c>
      <c r="F35" s="11" t="n">
        <v>136</v>
      </c>
      <c r="G35" s="7" t="n">
        <v>80</v>
      </c>
      <c r="H35" s="14" t="inlineStr">
        <is>
          <t>SUPERSEDED - see notes</t>
        </is>
      </c>
      <c r="I35" s="6" t="inlineStr">
        <is>
          <t>UNKNOWN</t>
        </is>
      </c>
      <c r="J35" s="6" t="inlineStr">
        <is>
          <t>yes</t>
        </is>
      </c>
      <c r="K35" s="6" t="inlineStr">
        <is>
          <t>124.00 - 136.00</t>
        </is>
      </c>
    </row>
    <row r="36">
      <c r="A36" s="5" t="n">
        <v>46404</v>
      </c>
      <c r="B36" s="6" t="inlineStr">
        <is>
          <t>Sun</t>
        </is>
      </c>
      <c r="C36" s="6" t="inlineStr">
        <is>
          <t>Fuel</t>
        </is>
      </c>
      <c r="D36" s="6" t="inlineStr">
        <is>
          <t>2 Essential</t>
        </is>
      </c>
      <c r="E36" s="6" t="inlineStr">
        <is>
          <t>weekly</t>
        </is>
      </c>
      <c r="F36" s="11" t="n">
        <v>90.77</v>
      </c>
      <c r="G36" s="7" t="n">
        <v>90.77</v>
      </c>
      <c r="H36" s="6" t="inlineStr">
        <is>
          <t>Stated amount</t>
        </is>
      </c>
      <c r="I36" s="12" t="inlineStr">
        <is>
          <t>FIXED</t>
        </is>
      </c>
      <c r="J36" s="6" t="inlineStr">
        <is>
          <t>no</t>
        </is>
      </c>
      <c r="K36" s="6" t="inlineStr">
        <is>
          <t>20.00 - 447.12</t>
        </is>
      </c>
    </row>
    <row r="37">
      <c r="A37" s="5" t="n">
        <v>46405</v>
      </c>
      <c r="B37" s="6" t="inlineStr">
        <is>
          <t>Mon</t>
        </is>
      </c>
      <c r="C37" s="6" t="inlineStr">
        <is>
          <t>CCU car loan</t>
        </is>
      </c>
      <c r="D37" s="6" t="inlineStr">
        <is>
          <t>1 Secured/critical</t>
        </is>
      </c>
      <c r="E37" s="6" t="inlineStr">
        <is>
          <t>monthly</t>
        </is>
      </c>
      <c r="F37" s="11" t="n">
        <v>306.9</v>
      </c>
      <c r="G37" s="7" t="n">
        <v>306.9</v>
      </c>
      <c r="H37" s="6" t="inlineStr">
        <is>
          <t>Stated amount</t>
        </is>
      </c>
      <c r="I37" s="12" t="inlineStr">
        <is>
          <t>FIXED</t>
        </is>
      </c>
      <c r="J37" s="6" t="inlineStr">
        <is>
          <t>yes</t>
        </is>
      </c>
      <c r="K37" s="6" t="inlineStr"/>
    </row>
    <row r="38">
      <c r="A38" s="5" t="n">
        <v>46405</v>
      </c>
      <c r="B38" s="6" t="inlineStr">
        <is>
          <t>Mon</t>
        </is>
      </c>
      <c r="C38" s="6" t="inlineStr">
        <is>
          <t>Comcast</t>
        </is>
      </c>
      <c r="D38" s="6" t="inlineStr">
        <is>
          <t>2 Essential</t>
        </is>
      </c>
      <c r="E38" s="6" t="inlineStr">
        <is>
          <t>monthly</t>
        </is>
      </c>
      <c r="F38" s="11" t="n">
        <v>138.93</v>
      </c>
      <c r="G38" s="7" t="n">
        <v>138.93</v>
      </c>
      <c r="H38" s="6" t="inlineStr">
        <is>
          <t>Stated amount</t>
        </is>
      </c>
      <c r="I38" s="6" t="inlineStr">
        <is>
          <t>UNKNOWN</t>
        </is>
      </c>
      <c r="J38" s="6" t="inlineStr">
        <is>
          <t>yes</t>
        </is>
      </c>
      <c r="K38" s="6" t="inlineStr"/>
    </row>
    <row r="39">
      <c r="A39" s="5" t="n">
        <v>46405</v>
      </c>
      <c r="B39" s="6" t="inlineStr">
        <is>
          <t>Mon</t>
        </is>
      </c>
      <c r="C39" s="6" t="inlineStr">
        <is>
          <t>Lowes</t>
        </is>
      </c>
      <c r="D39" s="6" t="inlineStr">
        <is>
          <t>5 Discretionary</t>
        </is>
      </c>
      <c r="E39" s="6" t="inlineStr">
        <is>
          <t>monthly</t>
        </is>
      </c>
      <c r="F39" s="11" t="n">
        <v>126</v>
      </c>
      <c r="G39" s="7" t="n">
        <v>69</v>
      </c>
      <c r="H39" s="14" t="inlineStr">
        <is>
          <t>SUPERSEDED - see notes</t>
        </is>
      </c>
      <c r="I39" s="6" t="inlineStr">
        <is>
          <t>UNKNOWN</t>
        </is>
      </c>
      <c r="J39" s="6" t="inlineStr">
        <is>
          <t>yes</t>
        </is>
      </c>
      <c r="K39" s="6" t="inlineStr">
        <is>
          <t>122.00 - 126.00</t>
        </is>
      </c>
    </row>
    <row r="40">
      <c r="A40" s="5" t="n">
        <v>46405</v>
      </c>
      <c r="B40" s="6" t="inlineStr">
        <is>
          <t>Mon</t>
        </is>
      </c>
      <c r="C40" s="6" t="inlineStr">
        <is>
          <t>Upgrade basement</t>
        </is>
      </c>
      <c r="D40" s="6" t="inlineStr">
        <is>
          <t>3 Required debt</t>
        </is>
      </c>
      <c r="E40" s="6" t="inlineStr">
        <is>
          <t>monthly</t>
        </is>
      </c>
      <c r="F40" s="11" t="n">
        <v>86.36</v>
      </c>
      <c r="G40" s="7" t="n">
        <v>86.36</v>
      </c>
      <c r="H40" s="6" t="inlineStr">
        <is>
          <t>Stated amount</t>
        </is>
      </c>
      <c r="I40" s="12" t="inlineStr">
        <is>
          <t>FIXED</t>
        </is>
      </c>
      <c r="J40" s="6" t="inlineStr">
        <is>
          <t>yes</t>
        </is>
      </c>
      <c r="K40" s="6" t="inlineStr"/>
    </row>
    <row r="41">
      <c r="A41" s="5" t="n">
        <v>46406</v>
      </c>
      <c r="B41" s="6" t="inlineStr">
        <is>
          <t>Tue</t>
        </is>
      </c>
      <c r="C41" s="6" t="inlineStr">
        <is>
          <t>IRS state</t>
        </is>
      </c>
      <c r="D41" s="6" t="inlineStr">
        <is>
          <t>2 Essential</t>
        </is>
      </c>
      <c r="E41" s="6" t="inlineStr">
        <is>
          <t>monthly</t>
        </is>
      </c>
      <c r="F41" s="11" t="n">
        <v>114</v>
      </c>
      <c r="G41" s="7" t="n">
        <v>114</v>
      </c>
      <c r="H41" s="6" t="inlineStr">
        <is>
          <t>Stated amount</t>
        </is>
      </c>
      <c r="I41" s="12" t="inlineStr">
        <is>
          <t>FIXED</t>
        </is>
      </c>
      <c r="J41" s="6" t="inlineStr">
        <is>
          <t>no</t>
        </is>
      </c>
      <c r="K41" s="6" t="inlineStr"/>
    </row>
    <row r="42">
      <c r="A42" s="5" t="n">
        <v>46406</v>
      </c>
      <c r="B42" s="6" t="inlineStr">
        <is>
          <t>Tue</t>
        </is>
      </c>
      <c r="C42" s="6" t="inlineStr">
        <is>
          <t>IRS federal</t>
        </is>
      </c>
      <c r="D42" s="6" t="inlineStr">
        <is>
          <t>2 Essential</t>
        </is>
      </c>
      <c r="E42" s="6" t="inlineStr">
        <is>
          <t>monthly</t>
        </is>
      </c>
      <c r="F42" s="11" t="n">
        <v>103</v>
      </c>
      <c r="G42" s="7" t="n">
        <v>103</v>
      </c>
      <c r="H42" s="6" t="inlineStr">
        <is>
          <t>Stated amount</t>
        </is>
      </c>
      <c r="I42" s="12" t="inlineStr">
        <is>
          <t>FIXED</t>
        </is>
      </c>
      <c r="J42" s="6" t="inlineStr">
        <is>
          <t>no</t>
        </is>
      </c>
      <c r="K42" s="6" t="inlineStr"/>
    </row>
    <row r="43">
      <c r="A43" s="5" t="n">
        <v>46409</v>
      </c>
      <c r="B43" s="6" t="inlineStr">
        <is>
          <t>Fri</t>
        </is>
      </c>
      <c r="C43" s="6" t="inlineStr">
        <is>
          <t>Chase CC United</t>
        </is>
      </c>
      <c r="D43" s="6" t="inlineStr">
        <is>
          <t>3 Required debt</t>
        </is>
      </c>
      <c r="E43" s="6" t="inlineStr">
        <is>
          <t>monthly</t>
        </is>
      </c>
      <c r="F43" s="11" t="n">
        <v>88</v>
      </c>
      <c r="G43" s="7" t="n">
        <v>46</v>
      </c>
      <c r="H43" s="14" t="inlineStr">
        <is>
          <t>SUPERSEDED - see notes</t>
        </is>
      </c>
      <c r="I43" s="6" t="inlineStr">
        <is>
          <t>UNKNOWN</t>
        </is>
      </c>
      <c r="J43" s="6" t="inlineStr">
        <is>
          <t>yes</t>
        </is>
      </c>
      <c r="K43" s="6" t="inlineStr">
        <is>
          <t>76.00 - 88.00</t>
        </is>
      </c>
    </row>
    <row r="44">
      <c r="A44" s="5" t="n">
        <v>46410</v>
      </c>
      <c r="B44" s="6" t="inlineStr">
        <is>
          <t>Sat</t>
        </is>
      </c>
      <c r="C44" s="6" t="inlineStr">
        <is>
          <t>Netflix</t>
        </is>
      </c>
      <c r="D44" s="6" t="inlineStr">
        <is>
          <t>5 Discretionary</t>
        </is>
      </c>
      <c r="E44" s="6" t="inlineStr">
        <is>
          <t>monthly</t>
        </is>
      </c>
      <c r="F44" s="11" t="n">
        <v>21.31</v>
      </c>
      <c r="G44" s="7" t="n">
        <v>21.31</v>
      </c>
      <c r="H44" s="6" t="inlineStr">
        <is>
          <t>Stated amount</t>
        </is>
      </c>
      <c r="I44" s="6" t="inlineStr">
        <is>
          <t>UNKNOWN</t>
        </is>
      </c>
      <c r="J44" s="6" t="inlineStr">
        <is>
          <t>yes</t>
        </is>
      </c>
      <c r="K44" s="6" t="inlineStr"/>
    </row>
    <row r="45">
      <c r="A45" s="5" t="n">
        <v>46411</v>
      </c>
      <c r="B45" s="6" t="inlineStr">
        <is>
          <t>Sun</t>
        </is>
      </c>
      <c r="C45" s="6" t="inlineStr">
        <is>
          <t>Kia</t>
        </is>
      </c>
      <c r="D45" s="6" t="inlineStr">
        <is>
          <t>1 Secured/critical</t>
        </is>
      </c>
      <c r="E45" s="6" t="inlineStr">
        <is>
          <t>monthly</t>
        </is>
      </c>
      <c r="F45" s="11" t="n">
        <v>742.65</v>
      </c>
      <c r="G45" s="7" t="n">
        <v>742.65</v>
      </c>
      <c r="H45" s="6" t="inlineStr">
        <is>
          <t>Stated amount</t>
        </is>
      </c>
      <c r="I45" s="12" t="inlineStr">
        <is>
          <t>FIXED</t>
        </is>
      </c>
      <c r="J45" s="6" t="inlineStr">
        <is>
          <t>yes</t>
        </is>
      </c>
      <c r="K45" s="6" t="inlineStr"/>
    </row>
    <row r="46">
      <c r="A46" s="5" t="n">
        <v>46411</v>
      </c>
      <c r="B46" s="6" t="inlineStr">
        <is>
          <t>Sun</t>
        </is>
      </c>
      <c r="C46" s="6" t="inlineStr">
        <is>
          <t>Upstart past bills (from Sep)</t>
        </is>
      </c>
      <c r="D46" s="6" t="inlineStr">
        <is>
          <t>3 Required debt</t>
        </is>
      </c>
      <c r="E46" s="6" t="inlineStr">
        <is>
          <t>monthly</t>
        </is>
      </c>
      <c r="F46" s="11" t="n">
        <v>337.61</v>
      </c>
      <c r="G46" s="7" t="n">
        <v>337.61</v>
      </c>
      <c r="H46" s="6" t="inlineStr">
        <is>
          <t>Stated amount</t>
        </is>
      </c>
      <c r="I46" s="12" t="inlineStr">
        <is>
          <t>FIXED</t>
        </is>
      </c>
      <c r="J46" s="6" t="inlineStr">
        <is>
          <t>yes</t>
        </is>
      </c>
      <c r="K46" s="6" t="inlineStr"/>
    </row>
    <row r="47">
      <c r="A47" s="5" t="n">
        <v>46411</v>
      </c>
      <c r="B47" s="6" t="inlineStr">
        <is>
          <t>Sun</t>
        </is>
      </c>
      <c r="C47" s="6" t="inlineStr">
        <is>
          <t>Groceries</t>
        </is>
      </c>
      <c r="D47" s="6" t="inlineStr">
        <is>
          <t>2 Essential</t>
        </is>
      </c>
      <c r="E47" s="6" t="inlineStr">
        <is>
          <t>weekly</t>
        </is>
      </c>
      <c r="F47" s="11" t="n">
        <v>319.09</v>
      </c>
      <c r="G47" s="7" t="n">
        <v>319.09</v>
      </c>
      <c r="H47" s="6" t="inlineStr">
        <is>
          <t>Stated amount</t>
        </is>
      </c>
      <c r="I47" s="12" t="inlineStr">
        <is>
          <t>FIXED</t>
        </is>
      </c>
      <c r="J47" s="6" t="inlineStr">
        <is>
          <t>no</t>
        </is>
      </c>
      <c r="K47" s="6" t="inlineStr">
        <is>
          <t>12.78 - 791.32</t>
        </is>
      </c>
    </row>
    <row r="48">
      <c r="A48" s="5" t="n">
        <v>46411</v>
      </c>
      <c r="B48" s="6" t="inlineStr">
        <is>
          <t>Sun</t>
        </is>
      </c>
      <c r="C48" s="6" t="inlineStr">
        <is>
          <t>Fuel</t>
        </is>
      </c>
      <c r="D48" s="6" t="inlineStr">
        <is>
          <t>2 Essential</t>
        </is>
      </c>
      <c r="E48" s="6" t="inlineStr">
        <is>
          <t>weekly</t>
        </is>
      </c>
      <c r="F48" s="11" t="n">
        <v>90.77</v>
      </c>
      <c r="G48" s="7" t="n">
        <v>90.77</v>
      </c>
      <c r="H48" s="6" t="inlineStr">
        <is>
          <t>Stated amount</t>
        </is>
      </c>
      <c r="I48" s="12" t="inlineStr">
        <is>
          <t>FIXED</t>
        </is>
      </c>
      <c r="J48" s="6" t="inlineStr">
        <is>
          <t>no</t>
        </is>
      </c>
      <c r="K48" s="6" t="inlineStr">
        <is>
          <t>20.00 - 447.12</t>
        </is>
      </c>
    </row>
    <row r="49">
      <c r="A49" s="5" t="n">
        <v>46412</v>
      </c>
      <c r="B49" s="6" t="inlineStr">
        <is>
          <t>Mon</t>
        </is>
      </c>
      <c r="C49" s="6" t="inlineStr">
        <is>
          <t>Mortgage</t>
        </is>
      </c>
      <c r="D49" s="6" t="inlineStr">
        <is>
          <t>1 Secured/critical</t>
        </is>
      </c>
      <c r="E49" s="6" t="inlineStr">
        <is>
          <t>biweekly</t>
        </is>
      </c>
      <c r="F49" s="11" t="n">
        <v>1801.62</v>
      </c>
      <c r="G49" s="7" t="n">
        <v>1801.62</v>
      </c>
      <c r="H49" s="6" t="inlineStr">
        <is>
          <t>Stated amount</t>
        </is>
      </c>
      <c r="I49" s="12" t="inlineStr">
        <is>
          <t>FIXED</t>
        </is>
      </c>
      <c r="J49" s="6" t="inlineStr">
        <is>
          <t>no</t>
        </is>
      </c>
      <c r="K49" s="6" t="inlineStr"/>
    </row>
    <row r="50">
      <c r="A50" s="5" t="n">
        <v>46414</v>
      </c>
      <c r="B50" s="6" t="inlineStr">
        <is>
          <t>Wed</t>
        </is>
      </c>
      <c r="C50" s="6" t="inlineStr">
        <is>
          <t>Barclay Old Navy</t>
        </is>
      </c>
      <c r="D50" s="6" t="inlineStr">
        <is>
          <t>3 Required debt</t>
        </is>
      </c>
      <c r="E50" s="6" t="inlineStr">
        <is>
          <t>monthly</t>
        </is>
      </c>
      <c r="F50" s="11" t="n">
        <v>84.78</v>
      </c>
      <c r="G50" s="7" t="n">
        <v>60.74</v>
      </c>
      <c r="H50" s="13" t="inlineStr">
        <is>
          <t>Forecast at worst seen</t>
        </is>
      </c>
      <c r="I50" s="6" t="inlineStr">
        <is>
          <t>UNKNOWN</t>
        </is>
      </c>
      <c r="J50" s="6" t="inlineStr">
        <is>
          <t>yes</t>
        </is>
      </c>
      <c r="K50" s="6" t="inlineStr">
        <is>
          <t>52.98 - 84.78</t>
        </is>
      </c>
    </row>
    <row r="51">
      <c r="A51" s="5" t="n">
        <v>46416</v>
      </c>
      <c r="B51" s="6" t="inlineStr">
        <is>
          <t>Fri</t>
        </is>
      </c>
      <c r="C51" s="6" t="inlineStr">
        <is>
          <t>Xfinity Mobile</t>
        </is>
      </c>
      <c r="D51" s="6" t="inlineStr">
        <is>
          <t>2 Essential</t>
        </is>
      </c>
      <c r="E51" s="6" t="inlineStr">
        <is>
          <t>monthly</t>
        </is>
      </c>
      <c r="F51" s="11" t="n">
        <v>88.81999999999999</v>
      </c>
      <c r="G51" s="7" t="n">
        <v>88.81999999999999</v>
      </c>
      <c r="H51" s="6" t="inlineStr">
        <is>
          <t>Stated amount</t>
        </is>
      </c>
      <c r="I51" s="6" t="inlineStr">
        <is>
          <t>UNKNOWN</t>
        </is>
      </c>
      <c r="J51" s="6" t="inlineStr">
        <is>
          <t>yes</t>
        </is>
      </c>
      <c r="K51" s="6" t="inlineStr"/>
    </row>
    <row r="52">
      <c r="A52" s="5" t="n">
        <v>46416</v>
      </c>
      <c r="B52" s="6" t="inlineStr">
        <is>
          <t>Fri</t>
        </is>
      </c>
      <c r="C52" s="6" t="inlineStr">
        <is>
          <t>Affirm</t>
        </is>
      </c>
      <c r="D52" s="6" t="inlineStr">
        <is>
          <t>3 Required debt</t>
        </is>
      </c>
      <c r="E52" s="6" t="inlineStr">
        <is>
          <t>monthly</t>
        </is>
      </c>
      <c r="F52" s="11" t="n">
        <v>73.06999999999999</v>
      </c>
      <c r="G52" s="7" t="n">
        <v>73.06999999999999</v>
      </c>
      <c r="H52" s="6" t="inlineStr">
        <is>
          <t>Stated amount</t>
        </is>
      </c>
      <c r="I52" s="6" t="inlineStr">
        <is>
          <t>UNKNOWN</t>
        </is>
      </c>
      <c r="J52" s="6" t="inlineStr">
        <is>
          <t>yes</t>
        </is>
      </c>
      <c r="K52" s="6" t="inlineStr"/>
    </row>
    <row r="53">
      <c r="A53" s="5" t="n">
        <v>46418</v>
      </c>
      <c r="B53" s="6" t="inlineStr">
        <is>
          <t>Sun</t>
        </is>
      </c>
      <c r="C53" s="6" t="inlineStr">
        <is>
          <t>Groceries</t>
        </is>
      </c>
      <c r="D53" s="6" t="inlineStr">
        <is>
          <t>2 Essential</t>
        </is>
      </c>
      <c r="E53" s="6" t="inlineStr">
        <is>
          <t>weekly</t>
        </is>
      </c>
      <c r="F53" s="11" t="n">
        <v>319.09</v>
      </c>
      <c r="G53" s="7" t="n">
        <v>319.09</v>
      </c>
      <c r="H53" s="6" t="inlineStr">
        <is>
          <t>Stated amount</t>
        </is>
      </c>
      <c r="I53" s="12" t="inlineStr">
        <is>
          <t>FIXED</t>
        </is>
      </c>
      <c r="J53" s="6" t="inlineStr">
        <is>
          <t>no</t>
        </is>
      </c>
      <c r="K53" s="6" t="inlineStr">
        <is>
          <t>12.78 - 791.32</t>
        </is>
      </c>
    </row>
    <row r="54">
      <c r="A54" s="5" t="n">
        <v>46418</v>
      </c>
      <c r="B54" s="6" t="inlineStr">
        <is>
          <t>Sun</t>
        </is>
      </c>
      <c r="C54" s="6" t="inlineStr">
        <is>
          <t>Fuel</t>
        </is>
      </c>
      <c r="D54" s="6" t="inlineStr">
        <is>
          <t>2 Essential</t>
        </is>
      </c>
      <c r="E54" s="6" t="inlineStr">
        <is>
          <t>weekly</t>
        </is>
      </c>
      <c r="F54" s="11" t="n">
        <v>90.77</v>
      </c>
      <c r="G54" s="7" t="n">
        <v>90.77</v>
      </c>
      <c r="H54" s="6" t="inlineStr">
        <is>
          <t>Stated amount</t>
        </is>
      </c>
      <c r="I54" s="12" t="inlineStr">
        <is>
          <t>FIXED</t>
        </is>
      </c>
      <c r="J54" s="6" t="inlineStr">
        <is>
          <t>no</t>
        </is>
      </c>
      <c r="K54" s="6" t="inlineStr">
        <is>
          <t>20.00 - 447.12</t>
        </is>
      </c>
    </row>
    <row r="55">
      <c r="A55" s="8" t="n"/>
      <c r="B55" s="8" t="n"/>
      <c r="C55" s="9" t="inlineStr">
        <is>
          <t>Total money out</t>
        </is>
      </c>
      <c r="D55" s="8" t="n"/>
      <c r="E55" s="8" t="n"/>
      <c r="F55" s="10">
        <f>SUM(F14:F54)</f>
        <v/>
      </c>
      <c r="G55" s="10">
        <f>SUM(G14:G54)</f>
        <v/>
      </c>
      <c r="H55" s="8" t="n"/>
      <c r="I55" s="8" t="n"/>
      <c r="J55" s="8" t="n"/>
      <c r="K55" s="8" t="n"/>
    </row>
    <row r="57">
      <c r="A57" s="3" t="inlineStr">
        <is>
          <t>MONTH SUMMARY</t>
        </is>
      </c>
    </row>
    <row r="58">
      <c r="C58" s="6" t="inlineStr">
        <is>
          <t>Money in</t>
        </is>
      </c>
      <c r="D58" s="15" t="n"/>
      <c r="E58" s="15" t="n"/>
      <c r="F58" s="16">
        <f>E10</f>
        <v/>
      </c>
    </row>
    <row r="59">
      <c r="C59" s="6" t="inlineStr">
        <is>
          <t>Money out (budget)</t>
        </is>
      </c>
      <c r="D59" s="15" t="n"/>
      <c r="E59" s="15" t="n"/>
      <c r="F59" s="16">
        <f>F55</f>
        <v/>
      </c>
    </row>
    <row r="60">
      <c r="C60" s="9" t="inlineStr">
        <is>
          <t>Net for the month</t>
        </is>
      </c>
      <c r="D60" s="8" t="n"/>
      <c r="E60" s="8" t="n"/>
      <c r="F60" s="10">
        <f>E10-F55</f>
        <v/>
      </c>
    </row>
    <row r="61">
      <c r="C61" s="6" t="inlineStr">
        <is>
          <t>Money out at stored amounts</t>
        </is>
      </c>
      <c r="D61" s="15" t="n"/>
      <c r="E61" s="15" t="n"/>
      <c r="F61" s="16">
        <f>G55</f>
        <v/>
      </c>
    </row>
    <row r="62">
      <c r="C62" s="6" t="inlineStr">
        <is>
          <t>Over-forecast vs stored</t>
        </is>
      </c>
      <c r="D62" s="15" t="n"/>
      <c r="E62" s="15" t="n"/>
      <c r="F62" s="16">
        <f>F55-G55</f>
        <v/>
      </c>
    </row>
    <row r="64">
      <c r="A64" s="3" t="inlineStr">
        <is>
          <t>NOTES AND ASSUMPTIONS</t>
        </is>
      </c>
    </row>
    <row r="65">
      <c r="A65" s="17" t="inlineStr">
        <is>
          <t>- INCOME SWITCHED OFF: Branchburg BOE payroll (2,829.31 biweekly) is recorded in income.json but NOT counted anywhere in this workbook. If it is actually being received, every monthly net figure here is understated by that amount.</t>
        </is>
      </c>
    </row>
    <row r="66">
      <c r="A66" s="17" t="inlineStr">
        <is>
          <t>- Budget vs Stored: 'Budget' is what the engine forecasts for that date; 'Stored' is the figure recorded in bills.json.</t>
        </is>
      </c>
    </row>
    <row r="67">
      <c r="A67" s="17" t="inlineStr">
        <is>
          <t>- Seasonal profile: gas and electric carry a month-of-year profile built from recent years of statements, so their budget figure changes every month. Neither figure is wrong.</t>
        </is>
      </c>
    </row>
    <row r="68">
      <c r="A68" s="17" t="inlineStr">
        <is>
          <t>- Forecast at worst seen: a variable bill landing monthly or less often is budgeted at the top of its observed range, deliberately, because under-forecasting an outflow is what causes an overdraft.</t>
        </is>
      </c>
    </row>
    <row r="69">
      <c r="A69" s="17" t="inlineStr">
        <is>
          <t>- SUPERSEDED: the engine is forecasting ABOVE an amount the household renegotiated, because the observed maximum predates the correction. Affects four cards and the water bill. This is a defect, not a rule - the Stored column is the agreed figure.</t>
        </is>
      </c>
    </row>
    <row r="70">
      <c r="A70" s="17" t="inlineStr">
        <is>
          <t>- Movability: FIXED means secured or recorded as non-deferrable. UNKNOWN means nothing records how late the payment may safely be, so no date change can be recommended without confirming it.</t>
        </is>
      </c>
    </row>
    <row r="71">
      <c r="A71" s="17" t="inlineStr">
        <is>
          <t>- Weekly items (groceries, fuel) appear once per occurrence, so a five-week month legitimately shows five rows.</t>
        </is>
      </c>
    </row>
    <row r="72">
      <c r="A72" s="17" t="inlineStr">
        <is>
          <t>- Excluded as ended or paid off, kept for history: Affirm large, Trilogy Lacrosse.</t>
        </is>
      </c>
    </row>
  </sheetData>
  <mergeCells count="10">
    <mergeCell ref="A69:K69"/>
    <mergeCell ref="A72:K72"/>
    <mergeCell ref="A65:K65"/>
    <mergeCell ref="A2:K2"/>
    <mergeCell ref="A71:K71"/>
    <mergeCell ref="A68:K68"/>
    <mergeCell ref="A66:K66"/>
    <mergeCell ref="A1:K1"/>
    <mergeCell ref="A70:K70"/>
    <mergeCell ref="A67:K67"/>
  </mergeCell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K68"/>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February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46421</v>
      </c>
      <c r="B6" s="6" t="inlineStr">
        <is>
          <t>Wed</t>
        </is>
      </c>
      <c r="C6" s="6" t="inlineStr">
        <is>
          <t>Insight Global payroll</t>
        </is>
      </c>
      <c r="D6" s="6" t="inlineStr">
        <is>
          <t>weekly</t>
        </is>
      </c>
      <c r="E6" s="7" t="n">
        <v>2016.06</v>
      </c>
      <c r="F6" s="6" t="inlineStr">
        <is>
          <t>UNVERIFIED - flagged needs_review</t>
        </is>
      </c>
    </row>
    <row r="7">
      <c r="A7" s="5" t="n">
        <v>46428</v>
      </c>
      <c r="B7" s="6" t="inlineStr">
        <is>
          <t>Wed</t>
        </is>
      </c>
      <c r="C7" s="6" t="inlineStr">
        <is>
          <t>Insight Global payroll</t>
        </is>
      </c>
      <c r="D7" s="6" t="inlineStr">
        <is>
          <t>weekly</t>
        </is>
      </c>
      <c r="E7" s="7" t="n">
        <v>2016.06</v>
      </c>
      <c r="F7" s="6" t="inlineStr">
        <is>
          <t>UNVERIFIED - flagged needs_review</t>
        </is>
      </c>
    </row>
    <row r="8">
      <c r="A8" s="5" t="n">
        <v>46435</v>
      </c>
      <c r="B8" s="6" t="inlineStr">
        <is>
          <t>Wed</t>
        </is>
      </c>
      <c r="C8" s="6" t="inlineStr">
        <is>
          <t>Insight Global payroll</t>
        </is>
      </c>
      <c r="D8" s="6" t="inlineStr">
        <is>
          <t>weekly</t>
        </is>
      </c>
      <c r="E8" s="7" t="n">
        <v>2016.06</v>
      </c>
      <c r="F8" s="6" t="inlineStr">
        <is>
          <t>UNVERIFIED - flagged needs_review</t>
        </is>
      </c>
    </row>
    <row r="9">
      <c r="A9" s="5" t="n">
        <v>46442</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46421</v>
      </c>
      <c r="B14" s="6" t="inlineStr">
        <is>
          <t>Wed</t>
        </is>
      </c>
      <c r="C14" s="6" t="inlineStr">
        <is>
          <t>JCP&amp;L / FirstEnergy</t>
        </is>
      </c>
      <c r="D14" s="6" t="inlineStr">
        <is>
          <t>2 Essential</t>
        </is>
      </c>
      <c r="E14" s="6" t="inlineStr">
        <is>
          <t>monthly</t>
        </is>
      </c>
      <c r="F14" s="11" t="n">
        <v>178.28</v>
      </c>
      <c r="G14" s="7" t="n">
        <v>418.98</v>
      </c>
      <c r="H14" s="6" t="inlineStr">
        <is>
          <t>Seasonal profile</t>
        </is>
      </c>
      <c r="I14" s="12" t="inlineStr">
        <is>
          <t>FIXED</t>
        </is>
      </c>
      <c r="J14" s="6" t="inlineStr">
        <is>
          <t>no</t>
        </is>
      </c>
      <c r="K14" s="6" t="inlineStr">
        <is>
          <t>130.28 - 489.87</t>
        </is>
      </c>
    </row>
    <row r="15">
      <c r="A15" s="5" t="n">
        <v>46422</v>
      </c>
      <c r="B15" s="6" t="inlineStr">
        <is>
          <t>Thu</t>
        </is>
      </c>
      <c r="C15" s="6" t="inlineStr">
        <is>
          <t>Culligan</t>
        </is>
      </c>
      <c r="D15" s="6" t="inlineStr">
        <is>
          <t>5 Discretionary</t>
        </is>
      </c>
      <c r="E15" s="6" t="inlineStr">
        <is>
          <t>monthly</t>
        </is>
      </c>
      <c r="F15" s="11" t="n">
        <v>307.7</v>
      </c>
      <c r="G15" s="7" t="n">
        <v>40.39</v>
      </c>
      <c r="H15" s="13" t="inlineStr">
        <is>
          <t>Forecast at worst seen</t>
        </is>
      </c>
      <c r="I15" s="6" t="inlineStr">
        <is>
          <t>UNKNOWN</t>
        </is>
      </c>
      <c r="J15" s="6" t="inlineStr">
        <is>
          <t>no</t>
        </is>
      </c>
      <c r="K15" s="6" t="inlineStr">
        <is>
          <t>40.39 - 307.70</t>
        </is>
      </c>
    </row>
    <row r="16">
      <c r="A16" s="5" t="n">
        <v>46422</v>
      </c>
      <c r="B16" s="6" t="inlineStr">
        <is>
          <t>Thu</t>
        </is>
      </c>
      <c r="C16" s="6" t="inlineStr">
        <is>
          <t>TJX Rewards</t>
        </is>
      </c>
      <c r="D16" s="6" t="inlineStr">
        <is>
          <t>5 Discretionary</t>
        </is>
      </c>
      <c r="E16" s="6" t="inlineStr">
        <is>
          <t>monthly</t>
        </is>
      </c>
      <c r="F16" s="11" t="n">
        <v>36</v>
      </c>
      <c r="G16" s="7" t="n">
        <v>36</v>
      </c>
      <c r="H16" s="6" t="inlineStr">
        <is>
          <t>Stated amount</t>
        </is>
      </c>
      <c r="I16" s="6" t="inlineStr">
        <is>
          <t>UNKNOWN</t>
        </is>
      </c>
      <c r="J16" s="6" t="inlineStr">
        <is>
          <t>yes</t>
        </is>
      </c>
      <c r="K16" s="6" t="inlineStr"/>
    </row>
    <row r="17">
      <c r="A17" s="5" t="n">
        <v>46424</v>
      </c>
      <c r="B17" s="6" t="inlineStr">
        <is>
          <t>Sat</t>
        </is>
      </c>
      <c r="C17" s="6" t="inlineStr">
        <is>
          <t>One Main loan</t>
        </is>
      </c>
      <c r="D17" s="6" t="inlineStr">
        <is>
          <t>3 Required debt</t>
        </is>
      </c>
      <c r="E17" s="6" t="inlineStr">
        <is>
          <t>monthly</t>
        </is>
      </c>
      <c r="F17" s="11" t="n">
        <v>388.24</v>
      </c>
      <c r="G17" s="7" t="n">
        <v>388.24</v>
      </c>
      <c r="H17" s="6" t="inlineStr">
        <is>
          <t>Stated amount</t>
        </is>
      </c>
      <c r="I17" s="12" t="inlineStr">
        <is>
          <t>FIXED</t>
        </is>
      </c>
      <c r="J17" s="6" t="inlineStr">
        <is>
          <t>yes</t>
        </is>
      </c>
      <c r="K17" s="6" t="inlineStr"/>
    </row>
    <row r="18">
      <c r="A18" s="5" t="n">
        <v>46425</v>
      </c>
      <c r="B18" s="6" t="inlineStr">
        <is>
          <t>Sun</t>
        </is>
      </c>
      <c r="C18" s="6" t="inlineStr">
        <is>
          <t>Groceries</t>
        </is>
      </c>
      <c r="D18" s="6" t="inlineStr">
        <is>
          <t>2 Essential</t>
        </is>
      </c>
      <c r="E18" s="6" t="inlineStr">
        <is>
          <t>weekly</t>
        </is>
      </c>
      <c r="F18" s="11" t="n">
        <v>319.09</v>
      </c>
      <c r="G18" s="7" t="n">
        <v>319.09</v>
      </c>
      <c r="H18" s="6" t="inlineStr">
        <is>
          <t>Stated amount</t>
        </is>
      </c>
      <c r="I18" s="12" t="inlineStr">
        <is>
          <t>FIXED</t>
        </is>
      </c>
      <c r="J18" s="6" t="inlineStr">
        <is>
          <t>no</t>
        </is>
      </c>
      <c r="K18" s="6" t="inlineStr">
        <is>
          <t>12.78 - 791.32</t>
        </is>
      </c>
    </row>
    <row r="19">
      <c r="A19" s="5" t="n">
        <v>46425</v>
      </c>
      <c r="B19" s="6" t="inlineStr">
        <is>
          <t>Sun</t>
        </is>
      </c>
      <c r="C19" s="6" t="inlineStr">
        <is>
          <t>Fuel</t>
        </is>
      </c>
      <c r="D19" s="6" t="inlineStr">
        <is>
          <t>2 Essential</t>
        </is>
      </c>
      <c r="E19" s="6" t="inlineStr">
        <is>
          <t>weekly</t>
        </is>
      </c>
      <c r="F19" s="11" t="n">
        <v>90.77</v>
      </c>
      <c r="G19" s="7" t="n">
        <v>90.77</v>
      </c>
      <c r="H19" s="6" t="inlineStr">
        <is>
          <t>Stated amount</t>
        </is>
      </c>
      <c r="I19" s="12" t="inlineStr">
        <is>
          <t>FIXED</t>
        </is>
      </c>
      <c r="J19" s="6" t="inlineStr">
        <is>
          <t>no</t>
        </is>
      </c>
      <c r="K19" s="6" t="inlineStr">
        <is>
          <t>20.00 - 447.12</t>
        </is>
      </c>
    </row>
    <row r="20">
      <c r="A20" s="5" t="n">
        <v>46426</v>
      </c>
      <c r="B20" s="6" t="inlineStr">
        <is>
          <t>Mon</t>
        </is>
      </c>
      <c r="C20" s="6" t="inlineStr">
        <is>
          <t>Mortgage</t>
        </is>
      </c>
      <c r="D20" s="6" t="inlineStr">
        <is>
          <t>1 Secured/critical</t>
        </is>
      </c>
      <c r="E20" s="6" t="inlineStr">
        <is>
          <t>biweekly</t>
        </is>
      </c>
      <c r="F20" s="11" t="n">
        <v>1801.62</v>
      </c>
      <c r="G20" s="7" t="n">
        <v>1801.62</v>
      </c>
      <c r="H20" s="6" t="inlineStr">
        <is>
          <t>Stated amount</t>
        </is>
      </c>
      <c r="I20" s="12" t="inlineStr">
        <is>
          <t>FIXED</t>
        </is>
      </c>
      <c r="J20" s="6" t="inlineStr">
        <is>
          <t>no</t>
        </is>
      </c>
      <c r="K20" s="6" t="inlineStr"/>
    </row>
    <row r="21">
      <c r="A21" s="5" t="n">
        <v>46426</v>
      </c>
      <c r="B21" s="6" t="inlineStr">
        <is>
          <t>Mon</t>
        </is>
      </c>
      <c r="C21" s="6" t="inlineStr">
        <is>
          <t>PNC</t>
        </is>
      </c>
      <c r="D21" s="6" t="inlineStr">
        <is>
          <t>3 Required debt</t>
        </is>
      </c>
      <c r="E21" s="6" t="inlineStr">
        <is>
          <t>monthly</t>
        </is>
      </c>
      <c r="F21" s="11" t="n">
        <v>150</v>
      </c>
      <c r="G21" s="7" t="n">
        <v>70</v>
      </c>
      <c r="H21" s="13" t="inlineStr">
        <is>
          <t>Forecast at worst seen</t>
        </is>
      </c>
      <c r="I21" s="6" t="inlineStr">
        <is>
          <t>UNKNOWN</t>
        </is>
      </c>
      <c r="J21" s="6" t="inlineStr">
        <is>
          <t>no</t>
        </is>
      </c>
      <c r="K21" s="6" t="inlineStr">
        <is>
          <t>70.00 - 150.00</t>
        </is>
      </c>
    </row>
    <row r="22">
      <c r="A22" s="5" t="n">
        <v>46429</v>
      </c>
      <c r="B22" s="6" t="inlineStr">
        <is>
          <t>Thu</t>
        </is>
      </c>
      <c r="C22" s="6" t="inlineStr">
        <is>
          <t>Elizabethtown Gas</t>
        </is>
      </c>
      <c r="D22" s="6" t="inlineStr">
        <is>
          <t>2 Essential</t>
        </is>
      </c>
      <c r="E22" s="6" t="inlineStr">
        <is>
          <t>monthly</t>
        </is>
      </c>
      <c r="F22" s="11" t="n">
        <v>440.56</v>
      </c>
      <c r="G22" s="7" t="n">
        <v>54.03</v>
      </c>
      <c r="H22" s="6" t="inlineStr">
        <is>
          <t>Seasonal profile</t>
        </is>
      </c>
      <c r="I22" s="12" t="inlineStr">
        <is>
          <t>FIXED</t>
        </is>
      </c>
      <c r="J22" s="6" t="inlineStr">
        <is>
          <t>no</t>
        </is>
      </c>
      <c r="K22" s="6" t="inlineStr">
        <is>
          <t>54.03 - 550.83</t>
        </is>
      </c>
    </row>
    <row r="23">
      <c r="A23" s="5" t="n">
        <v>46429</v>
      </c>
      <c r="B23" s="6" t="inlineStr">
        <is>
          <t>Thu</t>
        </is>
      </c>
      <c r="C23" s="6" t="inlineStr">
        <is>
          <t>T-Mobile Lia</t>
        </is>
      </c>
      <c r="D23" s="6" t="inlineStr">
        <is>
          <t>2 Essential</t>
        </is>
      </c>
      <c r="E23" s="6" t="inlineStr">
        <is>
          <t>monthly</t>
        </is>
      </c>
      <c r="F23" s="11" t="n">
        <v>20.75</v>
      </c>
      <c r="G23" s="7" t="n">
        <v>20.75</v>
      </c>
      <c r="H23" s="6" t="inlineStr">
        <is>
          <t>Stated amount</t>
        </is>
      </c>
      <c r="I23" s="6" t="inlineStr">
        <is>
          <t>UNKNOWN</t>
        </is>
      </c>
      <c r="J23" s="6" t="inlineStr">
        <is>
          <t>yes</t>
        </is>
      </c>
      <c r="K23" s="6" t="inlineStr"/>
    </row>
    <row r="24">
      <c r="A24" s="5" t="n">
        <v>46430</v>
      </c>
      <c r="B24" s="6" t="inlineStr">
        <is>
          <t>Fri</t>
        </is>
      </c>
      <c r="C24" s="6" t="inlineStr">
        <is>
          <t>Hanover Auto</t>
        </is>
      </c>
      <c r="D24" s="6" t="inlineStr">
        <is>
          <t>2 Essential</t>
        </is>
      </c>
      <c r="E24" s="6" t="inlineStr">
        <is>
          <t>monthly</t>
        </is>
      </c>
      <c r="F24" s="11" t="n">
        <v>513.27</v>
      </c>
      <c r="G24" s="7" t="n">
        <v>513.27</v>
      </c>
      <c r="H24" s="6" t="inlineStr">
        <is>
          <t>Stated amount</t>
        </is>
      </c>
      <c r="I24" s="12" t="inlineStr">
        <is>
          <t>FIXED</t>
        </is>
      </c>
      <c r="J24" s="6" t="inlineStr">
        <is>
          <t>no</t>
        </is>
      </c>
      <c r="K24" s="6" t="inlineStr"/>
    </row>
    <row r="25">
      <c r="A25" s="5" t="n">
        <v>46430</v>
      </c>
      <c r="B25" s="6" t="inlineStr">
        <is>
          <t>Fri</t>
        </is>
      </c>
      <c r="C25" s="6" t="inlineStr">
        <is>
          <t>Comenity</t>
        </is>
      </c>
      <c r="D25" s="6" t="inlineStr">
        <is>
          <t>3 Required debt</t>
        </is>
      </c>
      <c r="E25" s="6" t="inlineStr">
        <is>
          <t>monthly</t>
        </is>
      </c>
      <c r="F25" s="11" t="n">
        <v>65</v>
      </c>
      <c r="G25" s="7" t="n">
        <v>50</v>
      </c>
      <c r="H25" s="13" t="inlineStr">
        <is>
          <t>Forecast at worst seen</t>
        </is>
      </c>
      <c r="I25" s="6" t="inlineStr">
        <is>
          <t>UNKNOWN</t>
        </is>
      </c>
      <c r="J25" s="6" t="inlineStr">
        <is>
          <t>no</t>
        </is>
      </c>
      <c r="K25" s="6" t="inlineStr">
        <is>
          <t>40.00 - 65.00</t>
        </is>
      </c>
    </row>
    <row r="26">
      <c r="A26" s="5" t="n">
        <v>46432</v>
      </c>
      <c r="B26" s="6" t="inlineStr">
        <is>
          <t>Sun</t>
        </is>
      </c>
      <c r="C26" s="6" t="inlineStr">
        <is>
          <t>Groceries</t>
        </is>
      </c>
      <c r="D26" s="6" t="inlineStr">
        <is>
          <t>2 Essential</t>
        </is>
      </c>
      <c r="E26" s="6" t="inlineStr">
        <is>
          <t>weekly</t>
        </is>
      </c>
      <c r="F26" s="11" t="n">
        <v>319.09</v>
      </c>
      <c r="G26" s="7" t="n">
        <v>319.09</v>
      </c>
      <c r="H26" s="6" t="inlineStr">
        <is>
          <t>Stated amount</t>
        </is>
      </c>
      <c r="I26" s="12" t="inlineStr">
        <is>
          <t>FIXED</t>
        </is>
      </c>
      <c r="J26" s="6" t="inlineStr">
        <is>
          <t>no</t>
        </is>
      </c>
      <c r="K26" s="6" t="inlineStr">
        <is>
          <t>12.78 - 791.32</t>
        </is>
      </c>
    </row>
    <row r="27">
      <c r="A27" s="5" t="n">
        <v>46432</v>
      </c>
      <c r="B27" s="6" t="inlineStr">
        <is>
          <t>Sun</t>
        </is>
      </c>
      <c r="C27" s="6" t="inlineStr">
        <is>
          <t>Home Depot</t>
        </is>
      </c>
      <c r="D27" s="6" t="inlineStr">
        <is>
          <t>5 Discretionary</t>
        </is>
      </c>
      <c r="E27" s="6" t="inlineStr">
        <is>
          <t>monthly</t>
        </is>
      </c>
      <c r="F27" s="11" t="n">
        <v>100</v>
      </c>
      <c r="G27" s="7" t="n">
        <v>100</v>
      </c>
      <c r="H27" s="6" t="inlineStr">
        <is>
          <t>Stated amount</t>
        </is>
      </c>
      <c r="I27" s="6" t="inlineStr">
        <is>
          <t>UNKNOWN</t>
        </is>
      </c>
      <c r="J27" s="6" t="inlineStr">
        <is>
          <t>yes</t>
        </is>
      </c>
      <c r="K27" s="6" t="inlineStr">
        <is>
          <t>32.70 - 100.00</t>
        </is>
      </c>
    </row>
    <row r="28">
      <c r="A28" s="5" t="n">
        <v>46432</v>
      </c>
      <c r="B28" s="6" t="inlineStr">
        <is>
          <t>Sun</t>
        </is>
      </c>
      <c r="C28" s="6" t="inlineStr">
        <is>
          <t>Fuel</t>
        </is>
      </c>
      <c r="D28" s="6" t="inlineStr">
        <is>
          <t>2 Essential</t>
        </is>
      </c>
      <c r="E28" s="6" t="inlineStr">
        <is>
          <t>weekly</t>
        </is>
      </c>
      <c r="F28" s="11" t="n">
        <v>90.77</v>
      </c>
      <c r="G28" s="7" t="n">
        <v>90.77</v>
      </c>
      <c r="H28" s="6" t="inlineStr">
        <is>
          <t>Stated amount</t>
        </is>
      </c>
      <c r="I28" s="12" t="inlineStr">
        <is>
          <t>FIXED</t>
        </is>
      </c>
      <c r="J28" s="6" t="inlineStr">
        <is>
          <t>no</t>
        </is>
      </c>
      <c r="K28" s="6" t="inlineStr">
        <is>
          <t>20.00 - 447.12</t>
        </is>
      </c>
    </row>
    <row r="29">
      <c r="A29" s="5" t="n">
        <v>46433</v>
      </c>
      <c r="B29" s="6" t="inlineStr">
        <is>
          <t>Mon</t>
        </is>
      </c>
      <c r="C29" s="6" t="inlineStr">
        <is>
          <t>Loew &amp; Patel braces</t>
        </is>
      </c>
      <c r="D29" s="6" t="inlineStr">
        <is>
          <t>4 Scheduled</t>
        </is>
      </c>
      <c r="E29" s="6" t="inlineStr">
        <is>
          <t>monthly</t>
        </is>
      </c>
      <c r="F29" s="11" t="n">
        <v>400</v>
      </c>
      <c r="G29" s="7" t="n">
        <v>400</v>
      </c>
      <c r="H29" s="6" t="inlineStr">
        <is>
          <t>Stated amount</t>
        </is>
      </c>
      <c r="I29" s="6" t="inlineStr">
        <is>
          <t>UNKNOWN</t>
        </is>
      </c>
      <c r="J29" s="6" t="inlineStr">
        <is>
          <t>no</t>
        </is>
      </c>
      <c r="K29" s="6" t="inlineStr">
        <is>
          <t>15.00 - 0.00</t>
        </is>
      </c>
    </row>
    <row r="30">
      <c r="A30" s="5" t="n">
        <v>46433</v>
      </c>
      <c r="B30" s="6" t="inlineStr">
        <is>
          <t>Mon</t>
        </is>
      </c>
      <c r="C30" s="6" t="inlineStr">
        <is>
          <t>Upstart debt consol</t>
        </is>
      </c>
      <c r="D30" s="6" t="inlineStr">
        <is>
          <t>3 Required debt</t>
        </is>
      </c>
      <c r="E30" s="6" t="inlineStr">
        <is>
          <t>monthly</t>
        </is>
      </c>
      <c r="F30" s="11" t="n">
        <v>161</v>
      </c>
      <c r="G30" s="7" t="n">
        <v>161</v>
      </c>
      <c r="H30" s="6" t="inlineStr">
        <is>
          <t>Stated amount</t>
        </is>
      </c>
      <c r="I30" s="12" t="inlineStr">
        <is>
          <t>FIXED</t>
        </is>
      </c>
      <c r="J30" s="6" t="inlineStr">
        <is>
          <t>yes</t>
        </is>
      </c>
      <c r="K30" s="6" t="inlineStr"/>
    </row>
    <row r="31">
      <c r="A31" s="5" t="n">
        <v>46435</v>
      </c>
      <c r="B31" s="6" t="inlineStr">
        <is>
          <t>Wed</t>
        </is>
      </c>
      <c r="C31" s="6" t="inlineStr">
        <is>
          <t>Capital One CC</t>
        </is>
      </c>
      <c r="D31" s="6" t="inlineStr">
        <is>
          <t>3 Required debt</t>
        </is>
      </c>
      <c r="E31" s="6" t="inlineStr">
        <is>
          <t>monthly</t>
        </is>
      </c>
      <c r="F31" s="11" t="n">
        <v>163</v>
      </c>
      <c r="G31" s="7" t="n">
        <v>105</v>
      </c>
      <c r="H31" s="14" t="inlineStr">
        <is>
          <t>SUPERSEDED - see notes</t>
        </is>
      </c>
      <c r="I31" s="6" t="inlineStr">
        <is>
          <t>UNKNOWN</t>
        </is>
      </c>
      <c r="J31" s="6" t="inlineStr">
        <is>
          <t>yes</t>
        </is>
      </c>
      <c r="K31" s="6" t="inlineStr">
        <is>
          <t>154.00 - 163.00</t>
        </is>
      </c>
    </row>
    <row r="32">
      <c r="A32" s="5" t="n">
        <v>46435</v>
      </c>
      <c r="B32" s="6" t="inlineStr">
        <is>
          <t>Wed</t>
        </is>
      </c>
      <c r="C32" s="6" t="inlineStr">
        <is>
          <t>Chase CC Amazon</t>
        </is>
      </c>
      <c r="D32" s="6" t="inlineStr">
        <is>
          <t>3 Required debt</t>
        </is>
      </c>
      <c r="E32" s="6" t="inlineStr">
        <is>
          <t>monthly</t>
        </is>
      </c>
      <c r="F32" s="11" t="n">
        <v>136</v>
      </c>
      <c r="G32" s="7" t="n">
        <v>80</v>
      </c>
      <c r="H32" s="14" t="inlineStr">
        <is>
          <t>SUPERSEDED - see notes</t>
        </is>
      </c>
      <c r="I32" s="6" t="inlineStr">
        <is>
          <t>UNKNOWN</t>
        </is>
      </c>
      <c r="J32" s="6" t="inlineStr">
        <is>
          <t>yes</t>
        </is>
      </c>
      <c r="K32" s="6" t="inlineStr">
        <is>
          <t>124.00 - 136.00</t>
        </is>
      </c>
    </row>
    <row r="33">
      <c r="A33" s="5" t="n">
        <v>46436</v>
      </c>
      <c r="B33" s="6" t="inlineStr">
        <is>
          <t>Thu</t>
        </is>
      </c>
      <c r="C33" s="6" t="inlineStr">
        <is>
          <t>CCU car loan</t>
        </is>
      </c>
      <c r="D33" s="6" t="inlineStr">
        <is>
          <t>1 Secured/critical</t>
        </is>
      </c>
      <c r="E33" s="6" t="inlineStr">
        <is>
          <t>monthly</t>
        </is>
      </c>
      <c r="F33" s="11" t="n">
        <v>306.9</v>
      </c>
      <c r="G33" s="7" t="n">
        <v>306.9</v>
      </c>
      <c r="H33" s="6" t="inlineStr">
        <is>
          <t>Stated amount</t>
        </is>
      </c>
      <c r="I33" s="12" t="inlineStr">
        <is>
          <t>FIXED</t>
        </is>
      </c>
      <c r="J33" s="6" t="inlineStr">
        <is>
          <t>yes</t>
        </is>
      </c>
      <c r="K33" s="6" t="inlineStr"/>
    </row>
    <row r="34">
      <c r="A34" s="5" t="n">
        <v>46436</v>
      </c>
      <c r="B34" s="6" t="inlineStr">
        <is>
          <t>Thu</t>
        </is>
      </c>
      <c r="C34" s="6" t="inlineStr">
        <is>
          <t>Comcast</t>
        </is>
      </c>
      <c r="D34" s="6" t="inlineStr">
        <is>
          <t>2 Essential</t>
        </is>
      </c>
      <c r="E34" s="6" t="inlineStr">
        <is>
          <t>monthly</t>
        </is>
      </c>
      <c r="F34" s="11" t="n">
        <v>138.93</v>
      </c>
      <c r="G34" s="7" t="n">
        <v>138.93</v>
      </c>
      <c r="H34" s="6" t="inlineStr">
        <is>
          <t>Stated amount</t>
        </is>
      </c>
      <c r="I34" s="6" t="inlineStr">
        <is>
          <t>UNKNOWN</t>
        </is>
      </c>
      <c r="J34" s="6" t="inlineStr">
        <is>
          <t>yes</t>
        </is>
      </c>
      <c r="K34" s="6" t="inlineStr"/>
    </row>
    <row r="35">
      <c r="A35" s="5" t="n">
        <v>46436</v>
      </c>
      <c r="B35" s="6" t="inlineStr">
        <is>
          <t>Thu</t>
        </is>
      </c>
      <c r="C35" s="6" t="inlineStr">
        <is>
          <t>Lowes</t>
        </is>
      </c>
      <c r="D35" s="6" t="inlineStr">
        <is>
          <t>5 Discretionary</t>
        </is>
      </c>
      <c r="E35" s="6" t="inlineStr">
        <is>
          <t>monthly</t>
        </is>
      </c>
      <c r="F35" s="11" t="n">
        <v>126</v>
      </c>
      <c r="G35" s="7" t="n">
        <v>69</v>
      </c>
      <c r="H35" s="14" t="inlineStr">
        <is>
          <t>SUPERSEDED - see notes</t>
        </is>
      </c>
      <c r="I35" s="6" t="inlineStr">
        <is>
          <t>UNKNOWN</t>
        </is>
      </c>
      <c r="J35" s="6" t="inlineStr">
        <is>
          <t>yes</t>
        </is>
      </c>
      <c r="K35" s="6" t="inlineStr">
        <is>
          <t>122.00 - 126.00</t>
        </is>
      </c>
    </row>
    <row r="36">
      <c r="A36" s="5" t="n">
        <v>46436</v>
      </c>
      <c r="B36" s="6" t="inlineStr">
        <is>
          <t>Thu</t>
        </is>
      </c>
      <c r="C36" s="6" t="inlineStr">
        <is>
          <t>Upgrade basement</t>
        </is>
      </c>
      <c r="D36" s="6" t="inlineStr">
        <is>
          <t>3 Required debt</t>
        </is>
      </c>
      <c r="E36" s="6" t="inlineStr">
        <is>
          <t>monthly</t>
        </is>
      </c>
      <c r="F36" s="11" t="n">
        <v>86.36</v>
      </c>
      <c r="G36" s="7" t="n">
        <v>86.36</v>
      </c>
      <c r="H36" s="6" t="inlineStr">
        <is>
          <t>Stated amount</t>
        </is>
      </c>
      <c r="I36" s="12" t="inlineStr">
        <is>
          <t>FIXED</t>
        </is>
      </c>
      <c r="J36" s="6" t="inlineStr">
        <is>
          <t>yes</t>
        </is>
      </c>
      <c r="K36" s="6" t="inlineStr"/>
    </row>
    <row r="37">
      <c r="A37" s="5" t="n">
        <v>46437</v>
      </c>
      <c r="B37" s="6" t="inlineStr">
        <is>
          <t>Fri</t>
        </is>
      </c>
      <c r="C37" s="6" t="inlineStr">
        <is>
          <t>IRS state</t>
        </is>
      </c>
      <c r="D37" s="6" t="inlineStr">
        <is>
          <t>2 Essential</t>
        </is>
      </c>
      <c r="E37" s="6" t="inlineStr">
        <is>
          <t>monthly</t>
        </is>
      </c>
      <c r="F37" s="11" t="n">
        <v>114</v>
      </c>
      <c r="G37" s="7" t="n">
        <v>114</v>
      </c>
      <c r="H37" s="6" t="inlineStr">
        <is>
          <t>Stated amount</t>
        </is>
      </c>
      <c r="I37" s="12" t="inlineStr">
        <is>
          <t>FIXED</t>
        </is>
      </c>
      <c r="J37" s="6" t="inlineStr">
        <is>
          <t>no</t>
        </is>
      </c>
      <c r="K37" s="6" t="inlineStr"/>
    </row>
    <row r="38">
      <c r="A38" s="5" t="n">
        <v>46437</v>
      </c>
      <c r="B38" s="6" t="inlineStr">
        <is>
          <t>Fri</t>
        </is>
      </c>
      <c r="C38" s="6" t="inlineStr">
        <is>
          <t>IRS federal</t>
        </is>
      </c>
      <c r="D38" s="6" t="inlineStr">
        <is>
          <t>2 Essential</t>
        </is>
      </c>
      <c r="E38" s="6" t="inlineStr">
        <is>
          <t>monthly</t>
        </is>
      </c>
      <c r="F38" s="11" t="n">
        <v>103</v>
      </c>
      <c r="G38" s="7" t="n">
        <v>103</v>
      </c>
      <c r="H38" s="6" t="inlineStr">
        <is>
          <t>Stated amount</t>
        </is>
      </c>
      <c r="I38" s="12" t="inlineStr">
        <is>
          <t>FIXED</t>
        </is>
      </c>
      <c r="J38" s="6" t="inlineStr">
        <is>
          <t>no</t>
        </is>
      </c>
      <c r="K38" s="6" t="inlineStr"/>
    </row>
    <row r="39">
      <c r="A39" s="5" t="n">
        <v>46439</v>
      </c>
      <c r="B39" s="6" t="inlineStr">
        <is>
          <t>Sun</t>
        </is>
      </c>
      <c r="C39" s="6" t="inlineStr">
        <is>
          <t>Groceries</t>
        </is>
      </c>
      <c r="D39" s="6" t="inlineStr">
        <is>
          <t>2 Essential</t>
        </is>
      </c>
      <c r="E39" s="6" t="inlineStr">
        <is>
          <t>weekly</t>
        </is>
      </c>
      <c r="F39" s="11" t="n">
        <v>319.09</v>
      </c>
      <c r="G39" s="7" t="n">
        <v>319.09</v>
      </c>
      <c r="H39" s="6" t="inlineStr">
        <is>
          <t>Stated amount</t>
        </is>
      </c>
      <c r="I39" s="12" t="inlineStr">
        <is>
          <t>FIXED</t>
        </is>
      </c>
      <c r="J39" s="6" t="inlineStr">
        <is>
          <t>no</t>
        </is>
      </c>
      <c r="K39" s="6" t="inlineStr">
        <is>
          <t>12.78 - 791.32</t>
        </is>
      </c>
    </row>
    <row r="40">
      <c r="A40" s="5" t="n">
        <v>46439</v>
      </c>
      <c r="B40" s="6" t="inlineStr">
        <is>
          <t>Sun</t>
        </is>
      </c>
      <c r="C40" s="6" t="inlineStr">
        <is>
          <t>Fuel</t>
        </is>
      </c>
      <c r="D40" s="6" t="inlineStr">
        <is>
          <t>2 Essential</t>
        </is>
      </c>
      <c r="E40" s="6" t="inlineStr">
        <is>
          <t>weekly</t>
        </is>
      </c>
      <c r="F40" s="11" t="n">
        <v>90.77</v>
      </c>
      <c r="G40" s="7" t="n">
        <v>90.77</v>
      </c>
      <c r="H40" s="6" t="inlineStr">
        <is>
          <t>Stated amount</t>
        </is>
      </c>
      <c r="I40" s="12" t="inlineStr">
        <is>
          <t>FIXED</t>
        </is>
      </c>
      <c r="J40" s="6" t="inlineStr">
        <is>
          <t>no</t>
        </is>
      </c>
      <c r="K40" s="6" t="inlineStr">
        <is>
          <t>20.00 - 447.12</t>
        </is>
      </c>
    </row>
    <row r="41">
      <c r="A41" s="5" t="n">
        <v>46440</v>
      </c>
      <c r="B41" s="6" t="inlineStr">
        <is>
          <t>Mon</t>
        </is>
      </c>
      <c r="C41" s="6" t="inlineStr">
        <is>
          <t>Mortgage</t>
        </is>
      </c>
      <c r="D41" s="6" t="inlineStr">
        <is>
          <t>1 Secured/critical</t>
        </is>
      </c>
      <c r="E41" s="6" t="inlineStr">
        <is>
          <t>biweekly</t>
        </is>
      </c>
      <c r="F41" s="11" t="n">
        <v>1801.62</v>
      </c>
      <c r="G41" s="7" t="n">
        <v>1801.62</v>
      </c>
      <c r="H41" s="6" t="inlineStr">
        <is>
          <t>Stated amount</t>
        </is>
      </c>
      <c r="I41" s="12" t="inlineStr">
        <is>
          <t>FIXED</t>
        </is>
      </c>
      <c r="J41" s="6" t="inlineStr">
        <is>
          <t>no</t>
        </is>
      </c>
      <c r="K41" s="6" t="inlineStr"/>
    </row>
    <row r="42">
      <c r="A42" s="5" t="n">
        <v>46440</v>
      </c>
      <c r="B42" s="6" t="inlineStr">
        <is>
          <t>Mon</t>
        </is>
      </c>
      <c r="C42" s="6" t="inlineStr">
        <is>
          <t>Chase CC United</t>
        </is>
      </c>
      <c r="D42" s="6" t="inlineStr">
        <is>
          <t>3 Required debt</t>
        </is>
      </c>
      <c r="E42" s="6" t="inlineStr">
        <is>
          <t>monthly</t>
        </is>
      </c>
      <c r="F42" s="11" t="n">
        <v>88</v>
      </c>
      <c r="G42" s="7" t="n">
        <v>46</v>
      </c>
      <c r="H42" s="14" t="inlineStr">
        <is>
          <t>SUPERSEDED - see notes</t>
        </is>
      </c>
      <c r="I42" s="6" t="inlineStr">
        <is>
          <t>UNKNOWN</t>
        </is>
      </c>
      <c r="J42" s="6" t="inlineStr">
        <is>
          <t>yes</t>
        </is>
      </c>
      <c r="K42" s="6" t="inlineStr">
        <is>
          <t>76.00 - 88.00</t>
        </is>
      </c>
    </row>
    <row r="43">
      <c r="A43" s="5" t="n">
        <v>46441</v>
      </c>
      <c r="B43" s="6" t="inlineStr">
        <is>
          <t>Tue</t>
        </is>
      </c>
      <c r="C43" s="6" t="inlineStr">
        <is>
          <t>Netflix</t>
        </is>
      </c>
      <c r="D43" s="6" t="inlineStr">
        <is>
          <t>5 Discretionary</t>
        </is>
      </c>
      <c r="E43" s="6" t="inlineStr">
        <is>
          <t>monthly</t>
        </is>
      </c>
      <c r="F43" s="11" t="n">
        <v>21.31</v>
      </c>
      <c r="G43" s="7" t="n">
        <v>21.31</v>
      </c>
      <c r="H43" s="6" t="inlineStr">
        <is>
          <t>Stated amount</t>
        </is>
      </c>
      <c r="I43" s="6" t="inlineStr">
        <is>
          <t>UNKNOWN</t>
        </is>
      </c>
      <c r="J43" s="6" t="inlineStr">
        <is>
          <t>yes</t>
        </is>
      </c>
      <c r="K43" s="6" t="inlineStr"/>
    </row>
    <row r="44">
      <c r="A44" s="5" t="n">
        <v>46442</v>
      </c>
      <c r="B44" s="6" t="inlineStr">
        <is>
          <t>Wed</t>
        </is>
      </c>
      <c r="C44" s="6" t="inlineStr">
        <is>
          <t>Kia</t>
        </is>
      </c>
      <c r="D44" s="6" t="inlineStr">
        <is>
          <t>1 Secured/critical</t>
        </is>
      </c>
      <c r="E44" s="6" t="inlineStr">
        <is>
          <t>monthly</t>
        </is>
      </c>
      <c r="F44" s="11" t="n">
        <v>742.65</v>
      </c>
      <c r="G44" s="7" t="n">
        <v>742.65</v>
      </c>
      <c r="H44" s="6" t="inlineStr">
        <is>
          <t>Stated amount</t>
        </is>
      </c>
      <c r="I44" s="12" t="inlineStr">
        <is>
          <t>FIXED</t>
        </is>
      </c>
      <c r="J44" s="6" t="inlineStr">
        <is>
          <t>yes</t>
        </is>
      </c>
      <c r="K44" s="6" t="inlineStr"/>
    </row>
    <row r="45">
      <c r="A45" s="5" t="n">
        <v>46442</v>
      </c>
      <c r="B45" s="6" t="inlineStr">
        <is>
          <t>Wed</t>
        </is>
      </c>
      <c r="C45" s="6" t="inlineStr">
        <is>
          <t>Upstart past bills (from Sep)</t>
        </is>
      </c>
      <c r="D45" s="6" t="inlineStr">
        <is>
          <t>3 Required debt</t>
        </is>
      </c>
      <c r="E45" s="6" t="inlineStr">
        <is>
          <t>monthly</t>
        </is>
      </c>
      <c r="F45" s="11" t="n">
        <v>337.61</v>
      </c>
      <c r="G45" s="7" t="n">
        <v>337.61</v>
      </c>
      <c r="H45" s="6" t="inlineStr">
        <is>
          <t>Stated amount</t>
        </is>
      </c>
      <c r="I45" s="12" t="inlineStr">
        <is>
          <t>FIXED</t>
        </is>
      </c>
      <c r="J45" s="6" t="inlineStr">
        <is>
          <t>yes</t>
        </is>
      </c>
      <c r="K45" s="6" t="inlineStr"/>
    </row>
    <row r="46">
      <c r="A46" s="5" t="n">
        <v>46445</v>
      </c>
      <c r="B46" s="6" t="inlineStr">
        <is>
          <t>Sat</t>
        </is>
      </c>
      <c r="C46" s="6" t="inlineStr">
        <is>
          <t>Barclay Old Navy</t>
        </is>
      </c>
      <c r="D46" s="6" t="inlineStr">
        <is>
          <t>3 Required debt</t>
        </is>
      </c>
      <c r="E46" s="6" t="inlineStr">
        <is>
          <t>monthly</t>
        </is>
      </c>
      <c r="F46" s="11" t="n">
        <v>84.78</v>
      </c>
      <c r="G46" s="7" t="n">
        <v>60.74</v>
      </c>
      <c r="H46" s="13" t="inlineStr">
        <is>
          <t>Forecast at worst seen</t>
        </is>
      </c>
      <c r="I46" s="6" t="inlineStr">
        <is>
          <t>UNKNOWN</t>
        </is>
      </c>
      <c r="J46" s="6" t="inlineStr">
        <is>
          <t>yes</t>
        </is>
      </c>
      <c r="K46" s="6" t="inlineStr">
        <is>
          <t>52.98 - 84.78</t>
        </is>
      </c>
    </row>
    <row r="47">
      <c r="A47" s="5" t="n">
        <v>46446</v>
      </c>
      <c r="B47" s="6" t="inlineStr">
        <is>
          <t>Sun</t>
        </is>
      </c>
      <c r="C47" s="6" t="inlineStr">
        <is>
          <t>Groceries</t>
        </is>
      </c>
      <c r="D47" s="6" t="inlineStr">
        <is>
          <t>2 Essential</t>
        </is>
      </c>
      <c r="E47" s="6" t="inlineStr">
        <is>
          <t>weekly</t>
        </is>
      </c>
      <c r="F47" s="11" t="n">
        <v>319.09</v>
      </c>
      <c r="G47" s="7" t="n">
        <v>319.09</v>
      </c>
      <c r="H47" s="6" t="inlineStr">
        <is>
          <t>Stated amount</t>
        </is>
      </c>
      <c r="I47" s="12" t="inlineStr">
        <is>
          <t>FIXED</t>
        </is>
      </c>
      <c r="J47" s="6" t="inlineStr">
        <is>
          <t>no</t>
        </is>
      </c>
      <c r="K47" s="6" t="inlineStr">
        <is>
          <t>12.78 - 791.32</t>
        </is>
      </c>
    </row>
    <row r="48">
      <c r="A48" s="5" t="n">
        <v>46446</v>
      </c>
      <c r="B48" s="6" t="inlineStr">
        <is>
          <t>Sun</t>
        </is>
      </c>
      <c r="C48" s="6" t="inlineStr">
        <is>
          <t>Fuel</t>
        </is>
      </c>
      <c r="D48" s="6" t="inlineStr">
        <is>
          <t>2 Essential</t>
        </is>
      </c>
      <c r="E48" s="6" t="inlineStr">
        <is>
          <t>weekly</t>
        </is>
      </c>
      <c r="F48" s="11" t="n">
        <v>90.77</v>
      </c>
      <c r="G48" s="7" t="n">
        <v>90.77</v>
      </c>
      <c r="H48" s="6" t="inlineStr">
        <is>
          <t>Stated amount</t>
        </is>
      </c>
      <c r="I48" s="12" t="inlineStr">
        <is>
          <t>FIXED</t>
        </is>
      </c>
      <c r="J48" s="6" t="inlineStr">
        <is>
          <t>no</t>
        </is>
      </c>
      <c r="K48" s="6" t="inlineStr">
        <is>
          <t>20.00 - 447.12</t>
        </is>
      </c>
    </row>
    <row r="49">
      <c r="A49" s="5" t="n">
        <v>46446</v>
      </c>
      <c r="B49" s="6" t="inlineStr">
        <is>
          <t>Sun</t>
        </is>
      </c>
      <c r="C49" s="6" t="inlineStr">
        <is>
          <t>Xfinity Mobile</t>
        </is>
      </c>
      <c r="D49" s="6" t="inlineStr">
        <is>
          <t>2 Essential</t>
        </is>
      </c>
      <c r="E49" s="6" t="inlineStr">
        <is>
          <t>monthly</t>
        </is>
      </c>
      <c r="F49" s="11" t="n">
        <v>88.81999999999999</v>
      </c>
      <c r="G49" s="7" t="n">
        <v>88.81999999999999</v>
      </c>
      <c r="H49" s="6" t="inlineStr">
        <is>
          <t>Stated amount</t>
        </is>
      </c>
      <c r="I49" s="6" t="inlineStr">
        <is>
          <t>UNKNOWN</t>
        </is>
      </c>
      <c r="J49" s="6" t="inlineStr">
        <is>
          <t>yes</t>
        </is>
      </c>
      <c r="K49" s="6" t="inlineStr"/>
    </row>
    <row r="50">
      <c r="A50" s="5" t="n">
        <v>46446</v>
      </c>
      <c r="B50" s="6" t="inlineStr">
        <is>
          <t>Sun</t>
        </is>
      </c>
      <c r="C50" s="6" t="inlineStr">
        <is>
          <t>Affirm</t>
        </is>
      </c>
      <c r="D50" s="6" t="inlineStr">
        <is>
          <t>3 Required debt</t>
        </is>
      </c>
      <c r="E50" s="6" t="inlineStr">
        <is>
          <t>monthly</t>
        </is>
      </c>
      <c r="F50" s="11" t="n">
        <v>73.06999999999999</v>
      </c>
      <c r="G50" s="7" t="n">
        <v>73.06999999999999</v>
      </c>
      <c r="H50" s="6" t="inlineStr">
        <is>
          <t>Stated amount</t>
        </is>
      </c>
      <c r="I50" s="6" t="inlineStr">
        <is>
          <t>UNKNOWN</t>
        </is>
      </c>
      <c r="J50" s="6" t="inlineStr">
        <is>
          <t>yes</t>
        </is>
      </c>
      <c r="K50" s="6" t="inlineStr"/>
    </row>
    <row r="51">
      <c r="A51" s="8" t="n"/>
      <c r="B51" s="8" t="n"/>
      <c r="C51" s="9" t="inlineStr">
        <is>
          <t>Total money out</t>
        </is>
      </c>
      <c r="D51" s="8" t="n"/>
      <c r="E51" s="8" t="n"/>
      <c r="F51" s="10">
        <f>SUM(F14:F50)</f>
        <v/>
      </c>
      <c r="G51" s="10">
        <f>SUM(G14:G50)</f>
        <v/>
      </c>
      <c r="H51" s="8" t="n"/>
      <c r="I51" s="8" t="n"/>
      <c r="J51" s="8" t="n"/>
      <c r="K51" s="8" t="n"/>
    </row>
    <row r="53">
      <c r="A53" s="3" t="inlineStr">
        <is>
          <t>MONTH SUMMARY</t>
        </is>
      </c>
    </row>
    <row r="54">
      <c r="C54" s="6" t="inlineStr">
        <is>
          <t>Money in</t>
        </is>
      </c>
      <c r="D54" s="15" t="n"/>
      <c r="E54" s="15" t="n"/>
      <c r="F54" s="16">
        <f>E10</f>
        <v/>
      </c>
    </row>
    <row r="55">
      <c r="C55" s="6" t="inlineStr">
        <is>
          <t>Money out (budget)</t>
        </is>
      </c>
      <c r="D55" s="15" t="n"/>
      <c r="E55" s="15" t="n"/>
      <c r="F55" s="16">
        <f>F51</f>
        <v/>
      </c>
    </row>
    <row r="56">
      <c r="C56" s="9" t="inlineStr">
        <is>
          <t>Net for the month</t>
        </is>
      </c>
      <c r="D56" s="8" t="n"/>
      <c r="E56" s="8" t="n"/>
      <c r="F56" s="10">
        <f>E10-F51</f>
        <v/>
      </c>
    </row>
    <row r="57">
      <c r="C57" s="6" t="inlineStr">
        <is>
          <t>Money out at stored amounts</t>
        </is>
      </c>
      <c r="D57" s="15" t="n"/>
      <c r="E57" s="15" t="n"/>
      <c r="F57" s="16">
        <f>G51</f>
        <v/>
      </c>
    </row>
    <row r="58">
      <c r="C58" s="6" t="inlineStr">
        <is>
          <t>Over-forecast vs stored</t>
        </is>
      </c>
      <c r="D58" s="15" t="n"/>
      <c r="E58" s="15" t="n"/>
      <c r="F58" s="16">
        <f>F51-G51</f>
        <v/>
      </c>
    </row>
    <row r="60">
      <c r="A60" s="3" t="inlineStr">
        <is>
          <t>NOTES AND ASSUMPTIONS</t>
        </is>
      </c>
    </row>
    <row r="61">
      <c r="A61" s="17" t="inlineStr">
        <is>
          <t>- INCOME SWITCHED OFF: Branchburg BOE payroll (2,829.31 biweekly) is recorded in income.json but NOT counted anywhere in this workbook. If it is actually being received, every monthly net figure here is understated by that amount.</t>
        </is>
      </c>
    </row>
    <row r="62">
      <c r="A62" s="17" t="inlineStr">
        <is>
          <t>- Budget vs Stored: 'Budget' is what the engine forecasts for that date; 'Stored' is the figure recorded in bills.json.</t>
        </is>
      </c>
    </row>
    <row r="63">
      <c r="A63" s="17" t="inlineStr">
        <is>
          <t>- Seasonal profile: gas and electric carry a month-of-year profile built from recent years of statements, so their budget figure changes every month. Neither figure is wrong.</t>
        </is>
      </c>
    </row>
    <row r="64">
      <c r="A64" s="17" t="inlineStr">
        <is>
          <t>- Forecast at worst seen: a variable bill landing monthly or less often is budgeted at the top of its observed range, deliberately, because under-forecasting an outflow is what causes an overdraft.</t>
        </is>
      </c>
    </row>
    <row r="65">
      <c r="A65" s="17" t="inlineStr">
        <is>
          <t>- SUPERSEDED: the engine is forecasting ABOVE an amount the household renegotiated, because the observed maximum predates the correction. Affects four cards and the water bill. This is a defect, not a rule - the Stored column is the agreed figure.</t>
        </is>
      </c>
    </row>
    <row r="66">
      <c r="A66" s="17" t="inlineStr">
        <is>
          <t>- Movability: FIXED means secured or recorded as non-deferrable. UNKNOWN means nothing records how late the payment may safely be, so no date change can be recommended without confirming it.</t>
        </is>
      </c>
    </row>
    <row r="67">
      <c r="A67" s="17" t="inlineStr">
        <is>
          <t>- Weekly items (groceries, fuel) appear once per occurrence, so a five-week month legitimately shows five rows.</t>
        </is>
      </c>
    </row>
    <row r="68">
      <c r="A68" s="17" t="inlineStr">
        <is>
          <t>- Excluded as ended or paid off, kept for history: Affirm large, Trilogy Lacrosse.</t>
        </is>
      </c>
    </row>
  </sheetData>
  <mergeCells count="10">
    <mergeCell ref="A61:K61"/>
    <mergeCell ref="A62:K62"/>
    <mergeCell ref="A64:K64"/>
    <mergeCell ref="A65:K65"/>
    <mergeCell ref="A2:K2"/>
    <mergeCell ref="A63:K63"/>
    <mergeCell ref="A68:K68"/>
    <mergeCell ref="A66:K66"/>
    <mergeCell ref="A1:K1"/>
    <mergeCell ref="A67:K67"/>
  </mergeCell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K71"/>
  <sheetViews>
    <sheetView showGridLines="0" workbookViewId="0">
      <pane ySplit="14" topLeftCell="A15"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March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46449</v>
      </c>
      <c r="B6" s="6" t="inlineStr">
        <is>
          <t>Wed</t>
        </is>
      </c>
      <c r="C6" s="6" t="inlineStr">
        <is>
          <t>Insight Global payroll</t>
        </is>
      </c>
      <c r="D6" s="6" t="inlineStr">
        <is>
          <t>weekly</t>
        </is>
      </c>
      <c r="E6" s="7" t="n">
        <v>2016.06</v>
      </c>
      <c r="F6" s="6" t="inlineStr">
        <is>
          <t>UNVERIFIED - flagged needs_review</t>
        </is>
      </c>
    </row>
    <row r="7">
      <c r="A7" s="5" t="n">
        <v>46456</v>
      </c>
      <c r="B7" s="6" t="inlineStr">
        <is>
          <t>Wed</t>
        </is>
      </c>
      <c r="C7" s="6" t="inlineStr">
        <is>
          <t>Insight Global payroll</t>
        </is>
      </c>
      <c r="D7" s="6" t="inlineStr">
        <is>
          <t>weekly</t>
        </is>
      </c>
      <c r="E7" s="7" t="n">
        <v>2016.06</v>
      </c>
      <c r="F7" s="6" t="inlineStr">
        <is>
          <t>UNVERIFIED - flagged needs_review</t>
        </is>
      </c>
    </row>
    <row r="8">
      <c r="A8" s="5" t="n">
        <v>46463</v>
      </c>
      <c r="B8" s="6" t="inlineStr">
        <is>
          <t>Wed</t>
        </is>
      </c>
      <c r="C8" s="6" t="inlineStr">
        <is>
          <t>Insight Global payroll</t>
        </is>
      </c>
      <c r="D8" s="6" t="inlineStr">
        <is>
          <t>weekly</t>
        </is>
      </c>
      <c r="E8" s="7" t="n">
        <v>2016.06</v>
      </c>
      <c r="F8" s="6" t="inlineStr">
        <is>
          <t>UNVERIFIED - flagged needs_review</t>
        </is>
      </c>
    </row>
    <row r="9">
      <c r="A9" s="5" t="n">
        <v>46470</v>
      </c>
      <c r="B9" s="6" t="inlineStr">
        <is>
          <t>Wed</t>
        </is>
      </c>
      <c r="C9" s="6" t="inlineStr">
        <is>
          <t>Insight Global payroll</t>
        </is>
      </c>
      <c r="D9" s="6" t="inlineStr">
        <is>
          <t>weekly</t>
        </is>
      </c>
      <c r="E9" s="7" t="n">
        <v>2016.06</v>
      </c>
      <c r="F9" s="6" t="inlineStr">
        <is>
          <t>UNVERIFIED - flagged needs_review</t>
        </is>
      </c>
    </row>
    <row r="10">
      <c r="A10" s="5" t="n">
        <v>46477</v>
      </c>
      <c r="B10" s="6" t="inlineStr">
        <is>
          <t>Wed</t>
        </is>
      </c>
      <c r="C10" s="6" t="inlineStr">
        <is>
          <t>Insight Global payroll</t>
        </is>
      </c>
      <c r="D10" s="6" t="inlineStr">
        <is>
          <t>weekly</t>
        </is>
      </c>
      <c r="E10" s="7" t="n">
        <v>2016.06</v>
      </c>
      <c r="F10" s="6" t="inlineStr">
        <is>
          <t>UNVERIFIED - flagged needs_review</t>
        </is>
      </c>
    </row>
    <row r="11">
      <c r="A11" s="8" t="n"/>
      <c r="B11" s="8" t="n"/>
      <c r="C11" s="9" t="inlineStr">
        <is>
          <t>Total money in</t>
        </is>
      </c>
      <c r="D11" s="8" t="n"/>
      <c r="E11" s="10">
        <f>SUM(E6:E10)</f>
        <v/>
      </c>
      <c r="F11" s="8" t="n"/>
    </row>
    <row r="13">
      <c r="A13" s="3" t="inlineStr">
        <is>
          <t>MONEY OUT</t>
        </is>
      </c>
    </row>
    <row r="14">
      <c r="A14" s="4" t="inlineStr">
        <is>
          <t>Due date</t>
        </is>
      </c>
      <c r="B14" s="4" t="inlineStr">
        <is>
          <t>Day</t>
        </is>
      </c>
      <c r="C14" s="4" t="inlineStr">
        <is>
          <t>Bill / payee</t>
        </is>
      </c>
      <c r="D14" s="4" t="inlineStr">
        <is>
          <t>Category</t>
        </is>
      </c>
      <c r="E14" s="4" t="inlineStr">
        <is>
          <t>Frequency</t>
        </is>
      </c>
      <c r="F14" s="4" t="inlineStr">
        <is>
          <t>Budget</t>
        </is>
      </c>
      <c r="G14" s="4" t="inlineStr">
        <is>
          <t>Stored</t>
        </is>
      </c>
      <c r="H14" s="4" t="inlineStr">
        <is>
          <t>Basis</t>
        </is>
      </c>
      <c r="I14" s="4" t="inlineStr">
        <is>
          <t>Movability</t>
        </is>
      </c>
      <c r="J14" s="4" t="inlineStr">
        <is>
          <t>Autopay</t>
        </is>
      </c>
      <c r="K14" s="4" t="inlineStr">
        <is>
          <t>Historical range seen</t>
        </is>
      </c>
    </row>
    <row r="15">
      <c r="A15" s="5" t="n">
        <v>46449</v>
      </c>
      <c r="B15" s="6" t="inlineStr">
        <is>
          <t>Wed</t>
        </is>
      </c>
      <c r="C15" s="6" t="inlineStr">
        <is>
          <t>JCP&amp;L / FirstEnergy</t>
        </is>
      </c>
      <c r="D15" s="6" t="inlineStr">
        <is>
          <t>2 Essential</t>
        </is>
      </c>
      <c r="E15" s="6" t="inlineStr">
        <is>
          <t>monthly</t>
        </is>
      </c>
      <c r="F15" s="11" t="n">
        <v>197.5</v>
      </c>
      <c r="G15" s="7" t="n">
        <v>418.98</v>
      </c>
      <c r="H15" s="6" t="inlineStr">
        <is>
          <t>Seasonal profile</t>
        </is>
      </c>
      <c r="I15" s="12" t="inlineStr">
        <is>
          <t>FIXED</t>
        </is>
      </c>
      <c r="J15" s="6" t="inlineStr">
        <is>
          <t>no</t>
        </is>
      </c>
      <c r="K15" s="6" t="inlineStr">
        <is>
          <t>130.28 - 489.87</t>
        </is>
      </c>
    </row>
    <row r="16">
      <c r="A16" s="5" t="n">
        <v>46450</v>
      </c>
      <c r="B16" s="6" t="inlineStr">
        <is>
          <t>Thu</t>
        </is>
      </c>
      <c r="C16" s="6" t="inlineStr">
        <is>
          <t>Culligan</t>
        </is>
      </c>
      <c r="D16" s="6" t="inlineStr">
        <is>
          <t>5 Discretionary</t>
        </is>
      </c>
      <c r="E16" s="6" t="inlineStr">
        <is>
          <t>monthly</t>
        </is>
      </c>
      <c r="F16" s="11" t="n">
        <v>307.7</v>
      </c>
      <c r="G16" s="7" t="n">
        <v>40.39</v>
      </c>
      <c r="H16" s="13" t="inlineStr">
        <is>
          <t>Forecast at worst seen</t>
        </is>
      </c>
      <c r="I16" s="6" t="inlineStr">
        <is>
          <t>UNKNOWN</t>
        </is>
      </c>
      <c r="J16" s="6" t="inlineStr">
        <is>
          <t>no</t>
        </is>
      </c>
      <c r="K16" s="6" t="inlineStr">
        <is>
          <t>40.39 - 307.70</t>
        </is>
      </c>
    </row>
    <row r="17">
      <c r="A17" s="5" t="n">
        <v>46450</v>
      </c>
      <c r="B17" s="6" t="inlineStr">
        <is>
          <t>Thu</t>
        </is>
      </c>
      <c r="C17" s="6" t="inlineStr">
        <is>
          <t>TJX Rewards</t>
        </is>
      </c>
      <c r="D17" s="6" t="inlineStr">
        <is>
          <t>5 Discretionary</t>
        </is>
      </c>
      <c r="E17" s="6" t="inlineStr">
        <is>
          <t>monthly</t>
        </is>
      </c>
      <c r="F17" s="11" t="n">
        <v>36</v>
      </c>
      <c r="G17" s="7" t="n">
        <v>36</v>
      </c>
      <c r="H17" s="6" t="inlineStr">
        <is>
          <t>Stated amount</t>
        </is>
      </c>
      <c r="I17" s="6" t="inlineStr">
        <is>
          <t>UNKNOWN</t>
        </is>
      </c>
      <c r="J17" s="6" t="inlineStr">
        <is>
          <t>yes</t>
        </is>
      </c>
      <c r="K17" s="6" t="inlineStr"/>
    </row>
    <row r="18">
      <c r="A18" s="5" t="n">
        <v>46452</v>
      </c>
      <c r="B18" s="6" t="inlineStr">
        <is>
          <t>Sat</t>
        </is>
      </c>
      <c r="C18" s="6" t="inlineStr">
        <is>
          <t>One Main loan</t>
        </is>
      </c>
      <c r="D18" s="6" t="inlineStr">
        <is>
          <t>3 Required debt</t>
        </is>
      </c>
      <c r="E18" s="6" t="inlineStr">
        <is>
          <t>monthly</t>
        </is>
      </c>
      <c r="F18" s="11" t="n">
        <v>388.24</v>
      </c>
      <c r="G18" s="7" t="n">
        <v>388.24</v>
      </c>
      <c r="H18" s="6" t="inlineStr">
        <is>
          <t>Stated amount</t>
        </is>
      </c>
      <c r="I18" s="12" t="inlineStr">
        <is>
          <t>FIXED</t>
        </is>
      </c>
      <c r="J18" s="6" t="inlineStr">
        <is>
          <t>yes</t>
        </is>
      </c>
      <c r="K18" s="6" t="inlineStr"/>
    </row>
    <row r="19">
      <c r="A19" s="5" t="n">
        <v>46453</v>
      </c>
      <c r="B19" s="6" t="inlineStr">
        <is>
          <t>Sun</t>
        </is>
      </c>
      <c r="C19" s="6" t="inlineStr">
        <is>
          <t>Groceries</t>
        </is>
      </c>
      <c r="D19" s="6" t="inlineStr">
        <is>
          <t>2 Essential</t>
        </is>
      </c>
      <c r="E19" s="6" t="inlineStr">
        <is>
          <t>weekly</t>
        </is>
      </c>
      <c r="F19" s="11" t="n">
        <v>319.09</v>
      </c>
      <c r="G19" s="7" t="n">
        <v>319.09</v>
      </c>
      <c r="H19" s="6" t="inlineStr">
        <is>
          <t>Stated amount</t>
        </is>
      </c>
      <c r="I19" s="12" t="inlineStr">
        <is>
          <t>FIXED</t>
        </is>
      </c>
      <c r="J19" s="6" t="inlineStr">
        <is>
          <t>no</t>
        </is>
      </c>
      <c r="K19" s="6" t="inlineStr">
        <is>
          <t>12.78 - 791.32</t>
        </is>
      </c>
    </row>
    <row r="20">
      <c r="A20" s="5" t="n">
        <v>46453</v>
      </c>
      <c r="B20" s="6" t="inlineStr">
        <is>
          <t>Sun</t>
        </is>
      </c>
      <c r="C20" s="6" t="inlineStr">
        <is>
          <t>Fuel</t>
        </is>
      </c>
      <c r="D20" s="6" t="inlineStr">
        <is>
          <t>2 Essential</t>
        </is>
      </c>
      <c r="E20" s="6" t="inlineStr">
        <is>
          <t>weekly</t>
        </is>
      </c>
      <c r="F20" s="11" t="n">
        <v>90.77</v>
      </c>
      <c r="G20" s="7" t="n">
        <v>90.77</v>
      </c>
      <c r="H20" s="6" t="inlineStr">
        <is>
          <t>Stated amount</t>
        </is>
      </c>
      <c r="I20" s="12" t="inlineStr">
        <is>
          <t>FIXED</t>
        </is>
      </c>
      <c r="J20" s="6" t="inlineStr">
        <is>
          <t>no</t>
        </is>
      </c>
      <c r="K20" s="6" t="inlineStr">
        <is>
          <t>20.00 - 447.12</t>
        </is>
      </c>
    </row>
    <row r="21">
      <c r="A21" s="5" t="n">
        <v>46454</v>
      </c>
      <c r="B21" s="6" t="inlineStr">
        <is>
          <t>Mon</t>
        </is>
      </c>
      <c r="C21" s="6" t="inlineStr">
        <is>
          <t>Mortgage</t>
        </is>
      </c>
      <c r="D21" s="6" t="inlineStr">
        <is>
          <t>1 Secured/critical</t>
        </is>
      </c>
      <c r="E21" s="6" t="inlineStr">
        <is>
          <t>biweekly</t>
        </is>
      </c>
      <c r="F21" s="11" t="n">
        <v>1801.62</v>
      </c>
      <c r="G21" s="7" t="n">
        <v>1801.62</v>
      </c>
      <c r="H21" s="6" t="inlineStr">
        <is>
          <t>Stated amount</t>
        </is>
      </c>
      <c r="I21" s="12" t="inlineStr">
        <is>
          <t>FIXED</t>
        </is>
      </c>
      <c r="J21" s="6" t="inlineStr">
        <is>
          <t>no</t>
        </is>
      </c>
      <c r="K21" s="6" t="inlineStr"/>
    </row>
    <row r="22">
      <c r="A22" s="5" t="n">
        <v>46454</v>
      </c>
      <c r="B22" s="6" t="inlineStr">
        <is>
          <t>Mon</t>
        </is>
      </c>
      <c r="C22" s="6" t="inlineStr">
        <is>
          <t>PNC</t>
        </is>
      </c>
      <c r="D22" s="6" t="inlineStr">
        <is>
          <t>3 Required debt</t>
        </is>
      </c>
      <c r="E22" s="6" t="inlineStr">
        <is>
          <t>monthly</t>
        </is>
      </c>
      <c r="F22" s="11" t="n">
        <v>150</v>
      </c>
      <c r="G22" s="7" t="n">
        <v>70</v>
      </c>
      <c r="H22" s="13" t="inlineStr">
        <is>
          <t>Forecast at worst seen</t>
        </is>
      </c>
      <c r="I22" s="6" t="inlineStr">
        <is>
          <t>UNKNOWN</t>
        </is>
      </c>
      <c r="J22" s="6" t="inlineStr">
        <is>
          <t>no</t>
        </is>
      </c>
      <c r="K22" s="6" t="inlineStr">
        <is>
          <t>70.00 - 150.00</t>
        </is>
      </c>
    </row>
    <row r="23">
      <c r="A23" s="5" t="n">
        <v>46455</v>
      </c>
      <c r="B23" s="6" t="inlineStr">
        <is>
          <t>Tue</t>
        </is>
      </c>
      <c r="C23" s="6" t="inlineStr">
        <is>
          <t>NJ Total Select 3of4</t>
        </is>
      </c>
      <c r="D23" s="6" t="inlineStr">
        <is>
          <t>4 Scheduled</t>
        </is>
      </c>
      <c r="E23" s="6" t="inlineStr">
        <is>
          <t>once</t>
        </is>
      </c>
      <c r="F23" s="11" t="n">
        <v>517.5</v>
      </c>
      <c r="G23" s="7" t="n">
        <v>517.5</v>
      </c>
      <c r="H23" s="6" t="inlineStr">
        <is>
          <t>Stated amount</t>
        </is>
      </c>
      <c r="I23" s="6" t="inlineStr">
        <is>
          <t>UNKNOWN</t>
        </is>
      </c>
      <c r="J23" s="6" t="inlineStr">
        <is>
          <t>no</t>
        </is>
      </c>
      <c r="K23" s="6" t="inlineStr"/>
    </row>
    <row r="24">
      <c r="A24" s="5" t="n">
        <v>46457</v>
      </c>
      <c r="B24" s="6" t="inlineStr">
        <is>
          <t>Thu</t>
        </is>
      </c>
      <c r="C24" s="6" t="inlineStr">
        <is>
          <t>Elizabethtown Gas</t>
        </is>
      </c>
      <c r="D24" s="6" t="inlineStr">
        <is>
          <t>2 Essential</t>
        </is>
      </c>
      <c r="E24" s="6" t="inlineStr">
        <is>
          <t>monthly</t>
        </is>
      </c>
      <c r="F24" s="11" t="n">
        <v>550.83</v>
      </c>
      <c r="G24" s="7" t="n">
        <v>54.03</v>
      </c>
      <c r="H24" s="6" t="inlineStr">
        <is>
          <t>Seasonal profile</t>
        </is>
      </c>
      <c r="I24" s="12" t="inlineStr">
        <is>
          <t>FIXED</t>
        </is>
      </c>
      <c r="J24" s="6" t="inlineStr">
        <is>
          <t>no</t>
        </is>
      </c>
      <c r="K24" s="6" t="inlineStr">
        <is>
          <t>54.03 - 550.83</t>
        </is>
      </c>
    </row>
    <row r="25">
      <c r="A25" s="5" t="n">
        <v>46457</v>
      </c>
      <c r="B25" s="6" t="inlineStr">
        <is>
          <t>Thu</t>
        </is>
      </c>
      <c r="C25" s="6" t="inlineStr">
        <is>
          <t>T-Mobile Lia</t>
        </is>
      </c>
      <c r="D25" s="6" t="inlineStr">
        <is>
          <t>2 Essential</t>
        </is>
      </c>
      <c r="E25" s="6" t="inlineStr">
        <is>
          <t>monthly</t>
        </is>
      </c>
      <c r="F25" s="11" t="n">
        <v>20.75</v>
      </c>
      <c r="G25" s="7" t="n">
        <v>20.75</v>
      </c>
      <c r="H25" s="6" t="inlineStr">
        <is>
          <t>Stated amount</t>
        </is>
      </c>
      <c r="I25" s="6" t="inlineStr">
        <is>
          <t>UNKNOWN</t>
        </is>
      </c>
      <c r="J25" s="6" t="inlineStr">
        <is>
          <t>yes</t>
        </is>
      </c>
      <c r="K25" s="6" t="inlineStr"/>
    </row>
    <row r="26">
      <c r="A26" s="5" t="n">
        <v>46458</v>
      </c>
      <c r="B26" s="6" t="inlineStr">
        <is>
          <t>Fri</t>
        </is>
      </c>
      <c r="C26" s="6" t="inlineStr">
        <is>
          <t>Hanover Auto</t>
        </is>
      </c>
      <c r="D26" s="6" t="inlineStr">
        <is>
          <t>2 Essential</t>
        </is>
      </c>
      <c r="E26" s="6" t="inlineStr">
        <is>
          <t>monthly</t>
        </is>
      </c>
      <c r="F26" s="11" t="n">
        <v>513.27</v>
      </c>
      <c r="G26" s="7" t="n">
        <v>513.27</v>
      </c>
      <c r="H26" s="6" t="inlineStr">
        <is>
          <t>Stated amount</t>
        </is>
      </c>
      <c r="I26" s="12" t="inlineStr">
        <is>
          <t>FIXED</t>
        </is>
      </c>
      <c r="J26" s="6" t="inlineStr">
        <is>
          <t>no</t>
        </is>
      </c>
      <c r="K26" s="6" t="inlineStr"/>
    </row>
    <row r="27">
      <c r="A27" s="5" t="n">
        <v>46458</v>
      </c>
      <c r="B27" s="6" t="inlineStr">
        <is>
          <t>Fri</t>
        </is>
      </c>
      <c r="C27" s="6" t="inlineStr">
        <is>
          <t>Comenity</t>
        </is>
      </c>
      <c r="D27" s="6" t="inlineStr">
        <is>
          <t>3 Required debt</t>
        </is>
      </c>
      <c r="E27" s="6" t="inlineStr">
        <is>
          <t>monthly</t>
        </is>
      </c>
      <c r="F27" s="11" t="n">
        <v>65</v>
      </c>
      <c r="G27" s="7" t="n">
        <v>50</v>
      </c>
      <c r="H27" s="13" t="inlineStr">
        <is>
          <t>Forecast at worst seen</t>
        </is>
      </c>
      <c r="I27" s="6" t="inlineStr">
        <is>
          <t>UNKNOWN</t>
        </is>
      </c>
      <c r="J27" s="6" t="inlineStr">
        <is>
          <t>no</t>
        </is>
      </c>
      <c r="K27" s="6" t="inlineStr">
        <is>
          <t>40.00 - 65.00</t>
        </is>
      </c>
    </row>
    <row r="28">
      <c r="A28" s="5" t="n">
        <v>46460</v>
      </c>
      <c r="B28" s="6" t="inlineStr">
        <is>
          <t>Sun</t>
        </is>
      </c>
      <c r="C28" s="6" t="inlineStr">
        <is>
          <t>Groceries</t>
        </is>
      </c>
      <c r="D28" s="6" t="inlineStr">
        <is>
          <t>2 Essential</t>
        </is>
      </c>
      <c r="E28" s="6" t="inlineStr">
        <is>
          <t>weekly</t>
        </is>
      </c>
      <c r="F28" s="11" t="n">
        <v>319.09</v>
      </c>
      <c r="G28" s="7" t="n">
        <v>319.09</v>
      </c>
      <c r="H28" s="6" t="inlineStr">
        <is>
          <t>Stated amount</t>
        </is>
      </c>
      <c r="I28" s="12" t="inlineStr">
        <is>
          <t>FIXED</t>
        </is>
      </c>
      <c r="J28" s="6" t="inlineStr">
        <is>
          <t>no</t>
        </is>
      </c>
      <c r="K28" s="6" t="inlineStr">
        <is>
          <t>12.78 - 791.32</t>
        </is>
      </c>
    </row>
    <row r="29">
      <c r="A29" s="5" t="n">
        <v>46460</v>
      </c>
      <c r="B29" s="6" t="inlineStr">
        <is>
          <t>Sun</t>
        </is>
      </c>
      <c r="C29" s="6" t="inlineStr">
        <is>
          <t>Home Depot</t>
        </is>
      </c>
      <c r="D29" s="6" t="inlineStr">
        <is>
          <t>5 Discretionary</t>
        </is>
      </c>
      <c r="E29" s="6" t="inlineStr">
        <is>
          <t>monthly</t>
        </is>
      </c>
      <c r="F29" s="11" t="n">
        <v>100</v>
      </c>
      <c r="G29" s="7" t="n">
        <v>100</v>
      </c>
      <c r="H29" s="6" t="inlineStr">
        <is>
          <t>Stated amount</t>
        </is>
      </c>
      <c r="I29" s="6" t="inlineStr">
        <is>
          <t>UNKNOWN</t>
        </is>
      </c>
      <c r="J29" s="6" t="inlineStr">
        <is>
          <t>yes</t>
        </is>
      </c>
      <c r="K29" s="6" t="inlineStr">
        <is>
          <t>32.70 - 100.00</t>
        </is>
      </c>
    </row>
    <row r="30">
      <c r="A30" s="5" t="n">
        <v>46460</v>
      </c>
      <c r="B30" s="6" t="inlineStr">
        <is>
          <t>Sun</t>
        </is>
      </c>
      <c r="C30" s="6" t="inlineStr">
        <is>
          <t>Fuel</t>
        </is>
      </c>
      <c r="D30" s="6" t="inlineStr">
        <is>
          <t>2 Essential</t>
        </is>
      </c>
      <c r="E30" s="6" t="inlineStr">
        <is>
          <t>weekly</t>
        </is>
      </c>
      <c r="F30" s="11" t="n">
        <v>90.77</v>
      </c>
      <c r="G30" s="7" t="n">
        <v>90.77</v>
      </c>
      <c r="H30" s="6" t="inlineStr">
        <is>
          <t>Stated amount</t>
        </is>
      </c>
      <c r="I30" s="12" t="inlineStr">
        <is>
          <t>FIXED</t>
        </is>
      </c>
      <c r="J30" s="6" t="inlineStr">
        <is>
          <t>no</t>
        </is>
      </c>
      <c r="K30" s="6" t="inlineStr">
        <is>
          <t>20.00 - 447.12</t>
        </is>
      </c>
    </row>
    <row r="31">
      <c r="A31" s="5" t="n">
        <v>46461</v>
      </c>
      <c r="B31" s="6" t="inlineStr">
        <is>
          <t>Mon</t>
        </is>
      </c>
      <c r="C31" s="6" t="inlineStr">
        <is>
          <t>Loew &amp; Patel braces</t>
        </is>
      </c>
      <c r="D31" s="6" t="inlineStr">
        <is>
          <t>4 Scheduled</t>
        </is>
      </c>
      <c r="E31" s="6" t="inlineStr">
        <is>
          <t>monthly</t>
        </is>
      </c>
      <c r="F31" s="11" t="n">
        <v>400</v>
      </c>
      <c r="G31" s="7" t="n">
        <v>400</v>
      </c>
      <c r="H31" s="6" t="inlineStr">
        <is>
          <t>Stated amount</t>
        </is>
      </c>
      <c r="I31" s="6" t="inlineStr">
        <is>
          <t>UNKNOWN</t>
        </is>
      </c>
      <c r="J31" s="6" t="inlineStr">
        <is>
          <t>no</t>
        </is>
      </c>
      <c r="K31" s="6" t="inlineStr">
        <is>
          <t>15.00 - 0.00</t>
        </is>
      </c>
    </row>
    <row r="32">
      <c r="A32" s="5" t="n">
        <v>46461</v>
      </c>
      <c r="B32" s="6" t="inlineStr">
        <is>
          <t>Mon</t>
        </is>
      </c>
      <c r="C32" s="6" t="inlineStr">
        <is>
          <t>Upstart debt consol</t>
        </is>
      </c>
      <c r="D32" s="6" t="inlineStr">
        <is>
          <t>3 Required debt</t>
        </is>
      </c>
      <c r="E32" s="6" t="inlineStr">
        <is>
          <t>monthly</t>
        </is>
      </c>
      <c r="F32" s="11" t="n">
        <v>161</v>
      </c>
      <c r="G32" s="7" t="n">
        <v>161</v>
      </c>
      <c r="H32" s="6" t="inlineStr">
        <is>
          <t>Stated amount</t>
        </is>
      </c>
      <c r="I32" s="12" t="inlineStr">
        <is>
          <t>FIXED</t>
        </is>
      </c>
      <c r="J32" s="6" t="inlineStr">
        <is>
          <t>yes</t>
        </is>
      </c>
      <c r="K32" s="6" t="inlineStr"/>
    </row>
    <row r="33">
      <c r="A33" s="5" t="n">
        <v>46463</v>
      </c>
      <c r="B33" s="6" t="inlineStr">
        <is>
          <t>Wed</t>
        </is>
      </c>
      <c r="C33" s="6" t="inlineStr">
        <is>
          <t>Capital One CC</t>
        </is>
      </c>
      <c r="D33" s="6" t="inlineStr">
        <is>
          <t>3 Required debt</t>
        </is>
      </c>
      <c r="E33" s="6" t="inlineStr">
        <is>
          <t>monthly</t>
        </is>
      </c>
      <c r="F33" s="11" t="n">
        <v>163</v>
      </c>
      <c r="G33" s="7" t="n">
        <v>105</v>
      </c>
      <c r="H33" s="14" t="inlineStr">
        <is>
          <t>SUPERSEDED - see notes</t>
        </is>
      </c>
      <c r="I33" s="6" t="inlineStr">
        <is>
          <t>UNKNOWN</t>
        </is>
      </c>
      <c r="J33" s="6" t="inlineStr">
        <is>
          <t>yes</t>
        </is>
      </c>
      <c r="K33" s="6" t="inlineStr">
        <is>
          <t>154.00 - 163.00</t>
        </is>
      </c>
    </row>
    <row r="34">
      <c r="A34" s="5" t="n">
        <v>46463</v>
      </c>
      <c r="B34" s="6" t="inlineStr">
        <is>
          <t>Wed</t>
        </is>
      </c>
      <c r="C34" s="6" t="inlineStr">
        <is>
          <t>Chase CC Amazon</t>
        </is>
      </c>
      <c r="D34" s="6" t="inlineStr">
        <is>
          <t>3 Required debt</t>
        </is>
      </c>
      <c r="E34" s="6" t="inlineStr">
        <is>
          <t>monthly</t>
        </is>
      </c>
      <c r="F34" s="11" t="n">
        <v>136</v>
      </c>
      <c r="G34" s="7" t="n">
        <v>80</v>
      </c>
      <c r="H34" s="14" t="inlineStr">
        <is>
          <t>SUPERSEDED - see notes</t>
        </is>
      </c>
      <c r="I34" s="6" t="inlineStr">
        <is>
          <t>UNKNOWN</t>
        </is>
      </c>
      <c r="J34" s="6" t="inlineStr">
        <is>
          <t>yes</t>
        </is>
      </c>
      <c r="K34" s="6" t="inlineStr">
        <is>
          <t>124.00 - 136.00</t>
        </is>
      </c>
    </row>
    <row r="35">
      <c r="A35" s="5" t="n">
        <v>46464</v>
      </c>
      <c r="B35" s="6" t="inlineStr">
        <is>
          <t>Thu</t>
        </is>
      </c>
      <c r="C35" s="6" t="inlineStr">
        <is>
          <t>CCU car loan</t>
        </is>
      </c>
      <c r="D35" s="6" t="inlineStr">
        <is>
          <t>1 Secured/critical</t>
        </is>
      </c>
      <c r="E35" s="6" t="inlineStr">
        <is>
          <t>monthly</t>
        </is>
      </c>
      <c r="F35" s="11" t="n">
        <v>306.9</v>
      </c>
      <c r="G35" s="7" t="n">
        <v>306.9</v>
      </c>
      <c r="H35" s="6" t="inlineStr">
        <is>
          <t>Stated amount</t>
        </is>
      </c>
      <c r="I35" s="12" t="inlineStr">
        <is>
          <t>FIXED</t>
        </is>
      </c>
      <c r="J35" s="6" t="inlineStr">
        <is>
          <t>yes</t>
        </is>
      </c>
      <c r="K35" s="6" t="inlineStr"/>
    </row>
    <row r="36">
      <c r="A36" s="5" t="n">
        <v>46464</v>
      </c>
      <c r="B36" s="6" t="inlineStr">
        <is>
          <t>Thu</t>
        </is>
      </c>
      <c r="C36" s="6" t="inlineStr">
        <is>
          <t>Comcast</t>
        </is>
      </c>
      <c r="D36" s="6" t="inlineStr">
        <is>
          <t>2 Essential</t>
        </is>
      </c>
      <c r="E36" s="6" t="inlineStr">
        <is>
          <t>monthly</t>
        </is>
      </c>
      <c r="F36" s="11" t="n">
        <v>138.93</v>
      </c>
      <c r="G36" s="7" t="n">
        <v>138.93</v>
      </c>
      <c r="H36" s="6" t="inlineStr">
        <is>
          <t>Stated amount</t>
        </is>
      </c>
      <c r="I36" s="6" t="inlineStr">
        <is>
          <t>UNKNOWN</t>
        </is>
      </c>
      <c r="J36" s="6" t="inlineStr">
        <is>
          <t>yes</t>
        </is>
      </c>
      <c r="K36" s="6" t="inlineStr"/>
    </row>
    <row r="37">
      <c r="A37" s="5" t="n">
        <v>46464</v>
      </c>
      <c r="B37" s="6" t="inlineStr">
        <is>
          <t>Thu</t>
        </is>
      </c>
      <c r="C37" s="6" t="inlineStr">
        <is>
          <t>Lowes</t>
        </is>
      </c>
      <c r="D37" s="6" t="inlineStr">
        <is>
          <t>5 Discretionary</t>
        </is>
      </c>
      <c r="E37" s="6" t="inlineStr">
        <is>
          <t>monthly</t>
        </is>
      </c>
      <c r="F37" s="11" t="n">
        <v>126</v>
      </c>
      <c r="G37" s="7" t="n">
        <v>69</v>
      </c>
      <c r="H37" s="14" t="inlineStr">
        <is>
          <t>SUPERSEDED - see notes</t>
        </is>
      </c>
      <c r="I37" s="6" t="inlineStr">
        <is>
          <t>UNKNOWN</t>
        </is>
      </c>
      <c r="J37" s="6" t="inlineStr">
        <is>
          <t>yes</t>
        </is>
      </c>
      <c r="K37" s="6" t="inlineStr">
        <is>
          <t>122.00 - 126.00</t>
        </is>
      </c>
    </row>
    <row r="38">
      <c r="A38" s="5" t="n">
        <v>46464</v>
      </c>
      <c r="B38" s="6" t="inlineStr">
        <is>
          <t>Thu</t>
        </is>
      </c>
      <c r="C38" s="6" t="inlineStr">
        <is>
          <t>Upgrade basement</t>
        </is>
      </c>
      <c r="D38" s="6" t="inlineStr">
        <is>
          <t>3 Required debt</t>
        </is>
      </c>
      <c r="E38" s="6" t="inlineStr">
        <is>
          <t>monthly</t>
        </is>
      </c>
      <c r="F38" s="11" t="n">
        <v>86.36</v>
      </c>
      <c r="G38" s="7" t="n">
        <v>86.36</v>
      </c>
      <c r="H38" s="6" t="inlineStr">
        <is>
          <t>Stated amount</t>
        </is>
      </c>
      <c r="I38" s="12" t="inlineStr">
        <is>
          <t>FIXED</t>
        </is>
      </c>
      <c r="J38" s="6" t="inlineStr">
        <is>
          <t>yes</t>
        </is>
      </c>
      <c r="K38" s="6" t="inlineStr"/>
    </row>
    <row r="39">
      <c r="A39" s="5" t="n">
        <v>46465</v>
      </c>
      <c r="B39" s="6" t="inlineStr">
        <is>
          <t>Fri</t>
        </is>
      </c>
      <c r="C39" s="6" t="inlineStr">
        <is>
          <t>Town of Clinton water</t>
        </is>
      </c>
      <c r="D39" s="6" t="inlineStr">
        <is>
          <t>2 Essential</t>
        </is>
      </c>
      <c r="E39" s="6" t="inlineStr">
        <is>
          <t>quarterly</t>
        </is>
      </c>
      <c r="F39" s="11" t="n">
        <v>873.53</v>
      </c>
      <c r="G39" s="7" t="n">
        <v>294.03</v>
      </c>
      <c r="H39" s="14" t="inlineStr">
        <is>
          <t>SUPERSEDED - see notes</t>
        </is>
      </c>
      <c r="I39" s="12" t="inlineStr">
        <is>
          <t>FIXED</t>
        </is>
      </c>
      <c r="J39" s="6" t="inlineStr">
        <is>
          <t>no</t>
        </is>
      </c>
      <c r="K39" s="6" t="inlineStr">
        <is>
          <t>0.00 - 873.53</t>
        </is>
      </c>
    </row>
    <row r="40">
      <c r="A40" s="5" t="n">
        <v>46465</v>
      </c>
      <c r="B40" s="6" t="inlineStr">
        <is>
          <t>Fri</t>
        </is>
      </c>
      <c r="C40" s="6" t="inlineStr">
        <is>
          <t>IRS state</t>
        </is>
      </c>
      <c r="D40" s="6" t="inlineStr">
        <is>
          <t>2 Essential</t>
        </is>
      </c>
      <c r="E40" s="6" t="inlineStr">
        <is>
          <t>monthly</t>
        </is>
      </c>
      <c r="F40" s="11" t="n">
        <v>114</v>
      </c>
      <c r="G40" s="7" t="n">
        <v>114</v>
      </c>
      <c r="H40" s="6" t="inlineStr">
        <is>
          <t>Stated amount</t>
        </is>
      </c>
      <c r="I40" s="12" t="inlineStr">
        <is>
          <t>FIXED</t>
        </is>
      </c>
      <c r="J40" s="6" t="inlineStr">
        <is>
          <t>no</t>
        </is>
      </c>
      <c r="K40" s="6" t="inlineStr"/>
    </row>
    <row r="41">
      <c r="A41" s="5" t="n">
        <v>46465</v>
      </c>
      <c r="B41" s="6" t="inlineStr">
        <is>
          <t>Fri</t>
        </is>
      </c>
      <c r="C41" s="6" t="inlineStr">
        <is>
          <t>IRS federal</t>
        </is>
      </c>
      <c r="D41" s="6" t="inlineStr">
        <is>
          <t>2 Essential</t>
        </is>
      </c>
      <c r="E41" s="6" t="inlineStr">
        <is>
          <t>monthly</t>
        </is>
      </c>
      <c r="F41" s="11" t="n">
        <v>103</v>
      </c>
      <c r="G41" s="7" t="n">
        <v>103</v>
      </c>
      <c r="H41" s="6" t="inlineStr">
        <is>
          <t>Stated amount</t>
        </is>
      </c>
      <c r="I41" s="12" t="inlineStr">
        <is>
          <t>FIXED</t>
        </is>
      </c>
      <c r="J41" s="6" t="inlineStr">
        <is>
          <t>no</t>
        </is>
      </c>
      <c r="K41" s="6" t="inlineStr"/>
    </row>
    <row r="42">
      <c r="A42" s="5" t="n">
        <v>46467</v>
      </c>
      <c r="B42" s="6" t="inlineStr">
        <is>
          <t>Sun</t>
        </is>
      </c>
      <c r="C42" s="6" t="inlineStr">
        <is>
          <t>Groceries</t>
        </is>
      </c>
      <c r="D42" s="6" t="inlineStr">
        <is>
          <t>2 Essential</t>
        </is>
      </c>
      <c r="E42" s="6" t="inlineStr">
        <is>
          <t>weekly</t>
        </is>
      </c>
      <c r="F42" s="11" t="n">
        <v>319.09</v>
      </c>
      <c r="G42" s="7" t="n">
        <v>319.09</v>
      </c>
      <c r="H42" s="6" t="inlineStr">
        <is>
          <t>Stated amount</t>
        </is>
      </c>
      <c r="I42" s="12" t="inlineStr">
        <is>
          <t>FIXED</t>
        </is>
      </c>
      <c r="J42" s="6" t="inlineStr">
        <is>
          <t>no</t>
        </is>
      </c>
      <c r="K42" s="6" t="inlineStr">
        <is>
          <t>12.78 - 791.32</t>
        </is>
      </c>
    </row>
    <row r="43">
      <c r="A43" s="5" t="n">
        <v>46467</v>
      </c>
      <c r="B43" s="6" t="inlineStr">
        <is>
          <t>Sun</t>
        </is>
      </c>
      <c r="C43" s="6" t="inlineStr">
        <is>
          <t>Fuel</t>
        </is>
      </c>
      <c r="D43" s="6" t="inlineStr">
        <is>
          <t>2 Essential</t>
        </is>
      </c>
      <c r="E43" s="6" t="inlineStr">
        <is>
          <t>weekly</t>
        </is>
      </c>
      <c r="F43" s="11" t="n">
        <v>90.77</v>
      </c>
      <c r="G43" s="7" t="n">
        <v>90.77</v>
      </c>
      <c r="H43" s="6" t="inlineStr">
        <is>
          <t>Stated amount</t>
        </is>
      </c>
      <c r="I43" s="12" t="inlineStr">
        <is>
          <t>FIXED</t>
        </is>
      </c>
      <c r="J43" s="6" t="inlineStr">
        <is>
          <t>no</t>
        </is>
      </c>
      <c r="K43" s="6" t="inlineStr">
        <is>
          <t>20.00 - 447.12</t>
        </is>
      </c>
    </row>
    <row r="44">
      <c r="A44" s="5" t="n">
        <v>46468</v>
      </c>
      <c r="B44" s="6" t="inlineStr">
        <is>
          <t>Mon</t>
        </is>
      </c>
      <c r="C44" s="6" t="inlineStr">
        <is>
          <t>Mortgage</t>
        </is>
      </c>
      <c r="D44" s="6" t="inlineStr">
        <is>
          <t>1 Secured/critical</t>
        </is>
      </c>
      <c r="E44" s="6" t="inlineStr">
        <is>
          <t>biweekly</t>
        </is>
      </c>
      <c r="F44" s="11" t="n">
        <v>1801.62</v>
      </c>
      <c r="G44" s="7" t="n">
        <v>1801.62</v>
      </c>
      <c r="H44" s="6" t="inlineStr">
        <is>
          <t>Stated amount</t>
        </is>
      </c>
      <c r="I44" s="12" t="inlineStr">
        <is>
          <t>FIXED</t>
        </is>
      </c>
      <c r="J44" s="6" t="inlineStr">
        <is>
          <t>no</t>
        </is>
      </c>
      <c r="K44" s="6" t="inlineStr"/>
    </row>
    <row r="45">
      <c r="A45" s="5" t="n">
        <v>46468</v>
      </c>
      <c r="B45" s="6" t="inlineStr">
        <is>
          <t>Mon</t>
        </is>
      </c>
      <c r="C45" s="6" t="inlineStr">
        <is>
          <t>Chase CC United</t>
        </is>
      </c>
      <c r="D45" s="6" t="inlineStr">
        <is>
          <t>3 Required debt</t>
        </is>
      </c>
      <c r="E45" s="6" t="inlineStr">
        <is>
          <t>monthly</t>
        </is>
      </c>
      <c r="F45" s="11" t="n">
        <v>88</v>
      </c>
      <c r="G45" s="7" t="n">
        <v>46</v>
      </c>
      <c r="H45" s="14" t="inlineStr">
        <is>
          <t>SUPERSEDED - see notes</t>
        </is>
      </c>
      <c r="I45" s="6" t="inlineStr">
        <is>
          <t>UNKNOWN</t>
        </is>
      </c>
      <c r="J45" s="6" t="inlineStr">
        <is>
          <t>yes</t>
        </is>
      </c>
      <c r="K45" s="6" t="inlineStr">
        <is>
          <t>76.00 - 88.00</t>
        </is>
      </c>
    </row>
    <row r="46">
      <c r="A46" s="5" t="n">
        <v>46469</v>
      </c>
      <c r="B46" s="6" t="inlineStr">
        <is>
          <t>Tue</t>
        </is>
      </c>
      <c r="C46" s="6" t="inlineStr">
        <is>
          <t>Netflix</t>
        </is>
      </c>
      <c r="D46" s="6" t="inlineStr">
        <is>
          <t>5 Discretionary</t>
        </is>
      </c>
      <c r="E46" s="6" t="inlineStr">
        <is>
          <t>monthly</t>
        </is>
      </c>
      <c r="F46" s="11" t="n">
        <v>21.31</v>
      </c>
      <c r="G46" s="7" t="n">
        <v>21.31</v>
      </c>
      <c r="H46" s="6" t="inlineStr">
        <is>
          <t>Stated amount</t>
        </is>
      </c>
      <c r="I46" s="6" t="inlineStr">
        <is>
          <t>UNKNOWN</t>
        </is>
      </c>
      <c r="J46" s="6" t="inlineStr">
        <is>
          <t>yes</t>
        </is>
      </c>
      <c r="K46" s="6" t="inlineStr"/>
    </row>
    <row r="47">
      <c r="A47" s="5" t="n">
        <v>46470</v>
      </c>
      <c r="B47" s="6" t="inlineStr">
        <is>
          <t>Wed</t>
        </is>
      </c>
      <c r="C47" s="6" t="inlineStr">
        <is>
          <t>Kia</t>
        </is>
      </c>
      <c r="D47" s="6" t="inlineStr">
        <is>
          <t>1 Secured/critical</t>
        </is>
      </c>
      <c r="E47" s="6" t="inlineStr">
        <is>
          <t>monthly</t>
        </is>
      </c>
      <c r="F47" s="11" t="n">
        <v>742.65</v>
      </c>
      <c r="G47" s="7" t="n">
        <v>742.65</v>
      </c>
      <c r="H47" s="6" t="inlineStr">
        <is>
          <t>Stated amount</t>
        </is>
      </c>
      <c r="I47" s="12" t="inlineStr">
        <is>
          <t>FIXED</t>
        </is>
      </c>
      <c r="J47" s="6" t="inlineStr">
        <is>
          <t>yes</t>
        </is>
      </c>
      <c r="K47" s="6" t="inlineStr"/>
    </row>
    <row r="48">
      <c r="A48" s="5" t="n">
        <v>46470</v>
      </c>
      <c r="B48" s="6" t="inlineStr">
        <is>
          <t>Wed</t>
        </is>
      </c>
      <c r="C48" s="6" t="inlineStr">
        <is>
          <t>Upstart past bills (from Sep)</t>
        </is>
      </c>
      <c r="D48" s="6" t="inlineStr">
        <is>
          <t>3 Required debt</t>
        </is>
      </c>
      <c r="E48" s="6" t="inlineStr">
        <is>
          <t>monthly</t>
        </is>
      </c>
      <c r="F48" s="11" t="n">
        <v>337.61</v>
      </c>
      <c r="G48" s="7" t="n">
        <v>337.61</v>
      </c>
      <c r="H48" s="6" t="inlineStr">
        <is>
          <t>Stated amount</t>
        </is>
      </c>
      <c r="I48" s="12" t="inlineStr">
        <is>
          <t>FIXED</t>
        </is>
      </c>
      <c r="J48" s="6" t="inlineStr">
        <is>
          <t>yes</t>
        </is>
      </c>
      <c r="K48" s="6" t="inlineStr"/>
    </row>
    <row r="49">
      <c r="A49" s="5" t="n">
        <v>46473</v>
      </c>
      <c r="B49" s="6" t="inlineStr">
        <is>
          <t>Sat</t>
        </is>
      </c>
      <c r="C49" s="6" t="inlineStr">
        <is>
          <t>Barclay Old Navy</t>
        </is>
      </c>
      <c r="D49" s="6" t="inlineStr">
        <is>
          <t>3 Required debt</t>
        </is>
      </c>
      <c r="E49" s="6" t="inlineStr">
        <is>
          <t>monthly</t>
        </is>
      </c>
      <c r="F49" s="11" t="n">
        <v>84.78</v>
      </c>
      <c r="G49" s="7" t="n">
        <v>60.74</v>
      </c>
      <c r="H49" s="13" t="inlineStr">
        <is>
          <t>Forecast at worst seen</t>
        </is>
      </c>
      <c r="I49" s="6" t="inlineStr">
        <is>
          <t>UNKNOWN</t>
        </is>
      </c>
      <c r="J49" s="6" t="inlineStr">
        <is>
          <t>yes</t>
        </is>
      </c>
      <c r="K49" s="6" t="inlineStr">
        <is>
          <t>52.98 - 84.78</t>
        </is>
      </c>
    </row>
    <row r="50">
      <c r="A50" s="5" t="n">
        <v>46474</v>
      </c>
      <c r="B50" s="6" t="inlineStr">
        <is>
          <t>Sun</t>
        </is>
      </c>
      <c r="C50" s="6" t="inlineStr">
        <is>
          <t>Groceries</t>
        </is>
      </c>
      <c r="D50" s="6" t="inlineStr">
        <is>
          <t>2 Essential</t>
        </is>
      </c>
      <c r="E50" s="6" t="inlineStr">
        <is>
          <t>weekly</t>
        </is>
      </c>
      <c r="F50" s="11" t="n">
        <v>319.09</v>
      </c>
      <c r="G50" s="7" t="n">
        <v>319.09</v>
      </c>
      <c r="H50" s="6" t="inlineStr">
        <is>
          <t>Stated amount</t>
        </is>
      </c>
      <c r="I50" s="12" t="inlineStr">
        <is>
          <t>FIXED</t>
        </is>
      </c>
      <c r="J50" s="6" t="inlineStr">
        <is>
          <t>no</t>
        </is>
      </c>
      <c r="K50" s="6" t="inlineStr">
        <is>
          <t>12.78 - 791.32</t>
        </is>
      </c>
    </row>
    <row r="51">
      <c r="A51" s="5" t="n">
        <v>46474</v>
      </c>
      <c r="B51" s="6" t="inlineStr">
        <is>
          <t>Sun</t>
        </is>
      </c>
      <c r="C51" s="6" t="inlineStr">
        <is>
          <t>Fuel</t>
        </is>
      </c>
      <c r="D51" s="6" t="inlineStr">
        <is>
          <t>2 Essential</t>
        </is>
      </c>
      <c r="E51" s="6" t="inlineStr">
        <is>
          <t>weekly</t>
        </is>
      </c>
      <c r="F51" s="11" t="n">
        <v>90.77</v>
      </c>
      <c r="G51" s="7" t="n">
        <v>90.77</v>
      </c>
      <c r="H51" s="6" t="inlineStr">
        <is>
          <t>Stated amount</t>
        </is>
      </c>
      <c r="I51" s="12" t="inlineStr">
        <is>
          <t>FIXED</t>
        </is>
      </c>
      <c r="J51" s="6" t="inlineStr">
        <is>
          <t>no</t>
        </is>
      </c>
      <c r="K51" s="6" t="inlineStr">
        <is>
          <t>20.00 - 447.12</t>
        </is>
      </c>
    </row>
    <row r="52">
      <c r="A52" s="5" t="n">
        <v>46475</v>
      </c>
      <c r="B52" s="6" t="inlineStr">
        <is>
          <t>Mon</t>
        </is>
      </c>
      <c r="C52" s="6" t="inlineStr">
        <is>
          <t>Xfinity Mobile</t>
        </is>
      </c>
      <c r="D52" s="6" t="inlineStr">
        <is>
          <t>2 Essential</t>
        </is>
      </c>
      <c r="E52" s="6" t="inlineStr">
        <is>
          <t>monthly</t>
        </is>
      </c>
      <c r="F52" s="11" t="n">
        <v>88.81999999999999</v>
      </c>
      <c r="G52" s="7" t="n">
        <v>88.81999999999999</v>
      </c>
      <c r="H52" s="6" t="inlineStr">
        <is>
          <t>Stated amount</t>
        </is>
      </c>
      <c r="I52" s="6" t="inlineStr">
        <is>
          <t>UNKNOWN</t>
        </is>
      </c>
      <c r="J52" s="6" t="inlineStr">
        <is>
          <t>yes</t>
        </is>
      </c>
      <c r="K52" s="6" t="inlineStr"/>
    </row>
    <row r="53">
      <c r="A53" s="5" t="n">
        <v>46475</v>
      </c>
      <c r="B53" s="6" t="inlineStr">
        <is>
          <t>Mon</t>
        </is>
      </c>
      <c r="C53" s="6" t="inlineStr">
        <is>
          <t>Affirm</t>
        </is>
      </c>
      <c r="D53" s="6" t="inlineStr">
        <is>
          <t>3 Required debt</t>
        </is>
      </c>
      <c r="E53" s="6" t="inlineStr">
        <is>
          <t>monthly</t>
        </is>
      </c>
      <c r="F53" s="11" t="n">
        <v>73.06999999999999</v>
      </c>
      <c r="G53" s="7" t="n">
        <v>73.06999999999999</v>
      </c>
      <c r="H53" s="6" t="inlineStr">
        <is>
          <t>Stated amount</t>
        </is>
      </c>
      <c r="I53" s="6" t="inlineStr">
        <is>
          <t>UNKNOWN</t>
        </is>
      </c>
      <c r="J53" s="6" t="inlineStr">
        <is>
          <t>yes</t>
        </is>
      </c>
      <c r="K53" s="6" t="inlineStr"/>
    </row>
    <row r="54">
      <c r="A54" s="8" t="n"/>
      <c r="B54" s="8" t="n"/>
      <c r="C54" s="9" t="inlineStr">
        <is>
          <t>Total money out</t>
        </is>
      </c>
      <c r="D54" s="8" t="n"/>
      <c r="E54" s="8" t="n"/>
      <c r="F54" s="10">
        <f>SUM(F15:F53)</f>
        <v/>
      </c>
      <c r="G54" s="10">
        <f>SUM(G15:G53)</f>
        <v/>
      </c>
      <c r="H54" s="8" t="n"/>
      <c r="I54" s="8" t="n"/>
      <c r="J54" s="8" t="n"/>
      <c r="K54" s="8" t="n"/>
    </row>
    <row r="56">
      <c r="A56" s="3" t="inlineStr">
        <is>
          <t>MONTH SUMMARY</t>
        </is>
      </c>
    </row>
    <row r="57">
      <c r="C57" s="6" t="inlineStr">
        <is>
          <t>Money in</t>
        </is>
      </c>
      <c r="D57" s="15" t="n"/>
      <c r="E57" s="15" t="n"/>
      <c r="F57" s="16">
        <f>E11</f>
        <v/>
      </c>
    </row>
    <row r="58">
      <c r="C58" s="6" t="inlineStr">
        <is>
          <t>Money out (budget)</t>
        </is>
      </c>
      <c r="D58" s="15" t="n"/>
      <c r="E58" s="15" t="n"/>
      <c r="F58" s="16">
        <f>F54</f>
        <v/>
      </c>
    </row>
    <row r="59">
      <c r="C59" s="9" t="inlineStr">
        <is>
          <t>Net for the month</t>
        </is>
      </c>
      <c r="D59" s="8" t="n"/>
      <c r="E59" s="8" t="n"/>
      <c r="F59" s="10">
        <f>E11-F54</f>
        <v/>
      </c>
    </row>
    <row r="60">
      <c r="C60" s="6" t="inlineStr">
        <is>
          <t>Money out at stored amounts</t>
        </is>
      </c>
      <c r="D60" s="15" t="n"/>
      <c r="E60" s="15" t="n"/>
      <c r="F60" s="16">
        <f>G54</f>
        <v/>
      </c>
    </row>
    <row r="61">
      <c r="C61" s="6" t="inlineStr">
        <is>
          <t>Over-forecast vs stored</t>
        </is>
      </c>
      <c r="D61" s="15" t="n"/>
      <c r="E61" s="15" t="n"/>
      <c r="F61" s="16">
        <f>F54-G54</f>
        <v/>
      </c>
    </row>
    <row r="63">
      <c r="A63" s="3" t="inlineStr">
        <is>
          <t>NOTES AND ASSUMPTIONS</t>
        </is>
      </c>
    </row>
    <row r="64">
      <c r="A64" s="17" t="inlineStr">
        <is>
          <t>- INCOME SWITCHED OFF: Branchburg BOE payroll (2,829.31 biweekly) is recorded in income.json but NOT counted anywhere in this workbook. If it is actually being received, every monthly net figure here is understated by that amount.</t>
        </is>
      </c>
    </row>
    <row r="65">
      <c r="A65" s="17" t="inlineStr">
        <is>
          <t>- Budget vs Stored: 'Budget' is what the engine forecasts for that date; 'Stored' is the figure recorded in bills.json.</t>
        </is>
      </c>
    </row>
    <row r="66">
      <c r="A66" s="17" t="inlineStr">
        <is>
          <t>- Seasonal profile: gas and electric carry a month-of-year profile built from recent years of statements, so their budget figure changes every month. Neither figure is wrong.</t>
        </is>
      </c>
    </row>
    <row r="67">
      <c r="A67" s="17" t="inlineStr">
        <is>
          <t>- Forecast at worst seen: a variable bill landing monthly or less often is budgeted at the top of its observed range, deliberately, because under-forecasting an outflow is what causes an overdraft.</t>
        </is>
      </c>
    </row>
    <row r="68">
      <c r="A68" s="17" t="inlineStr">
        <is>
          <t>- SUPERSEDED: the engine is forecasting ABOVE an amount the household renegotiated, because the observed maximum predates the correction. Affects four cards and the water bill. This is a defect, not a rule - the Stored column is the agreed figure.</t>
        </is>
      </c>
    </row>
    <row r="69">
      <c r="A69" s="17" t="inlineStr">
        <is>
          <t>- Movability: FIXED means secured or recorded as non-deferrable. UNKNOWN means nothing records how late the payment may safely be, so no date change can be recommended without confirming it.</t>
        </is>
      </c>
    </row>
    <row r="70">
      <c r="A70" s="17" t="inlineStr">
        <is>
          <t>- Weekly items (groceries, fuel) appear once per occurrence, so a five-week month legitimately shows five rows.</t>
        </is>
      </c>
    </row>
    <row r="71">
      <c r="A71" s="17" t="inlineStr">
        <is>
          <t>- Excluded as ended or paid off, kept for history: Affirm large, Trilogy Lacrosse.</t>
        </is>
      </c>
    </row>
  </sheetData>
  <mergeCells count="10">
    <mergeCell ref="A69:K69"/>
    <mergeCell ref="A64:K64"/>
    <mergeCell ref="A65:K65"/>
    <mergeCell ref="A2:K2"/>
    <mergeCell ref="A71:K71"/>
    <mergeCell ref="A68:K68"/>
    <mergeCell ref="A66:K66"/>
    <mergeCell ref="A1:K1"/>
    <mergeCell ref="A70:K70"/>
    <mergeCell ref="A67:K67"/>
  </mergeCell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K68"/>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April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46484</v>
      </c>
      <c r="B6" s="6" t="inlineStr">
        <is>
          <t>Wed</t>
        </is>
      </c>
      <c r="C6" s="6" t="inlineStr">
        <is>
          <t>Insight Global payroll</t>
        </is>
      </c>
      <c r="D6" s="6" t="inlineStr">
        <is>
          <t>weekly</t>
        </is>
      </c>
      <c r="E6" s="7" t="n">
        <v>2016.06</v>
      </c>
      <c r="F6" s="6" t="inlineStr">
        <is>
          <t>UNVERIFIED - flagged needs_review</t>
        </is>
      </c>
    </row>
    <row r="7">
      <c r="A7" s="5" t="n">
        <v>46491</v>
      </c>
      <c r="B7" s="6" t="inlineStr">
        <is>
          <t>Wed</t>
        </is>
      </c>
      <c r="C7" s="6" t="inlineStr">
        <is>
          <t>Insight Global payroll</t>
        </is>
      </c>
      <c r="D7" s="6" t="inlineStr">
        <is>
          <t>weekly</t>
        </is>
      </c>
      <c r="E7" s="7" t="n">
        <v>2016.06</v>
      </c>
      <c r="F7" s="6" t="inlineStr">
        <is>
          <t>UNVERIFIED - flagged needs_review</t>
        </is>
      </c>
    </row>
    <row r="8">
      <c r="A8" s="5" t="n">
        <v>46498</v>
      </c>
      <c r="B8" s="6" t="inlineStr">
        <is>
          <t>Wed</t>
        </is>
      </c>
      <c r="C8" s="6" t="inlineStr">
        <is>
          <t>Insight Global payroll</t>
        </is>
      </c>
      <c r="D8" s="6" t="inlineStr">
        <is>
          <t>weekly</t>
        </is>
      </c>
      <c r="E8" s="7" t="n">
        <v>2016.06</v>
      </c>
      <c r="F8" s="6" t="inlineStr">
        <is>
          <t>UNVERIFIED - flagged needs_review</t>
        </is>
      </c>
    </row>
    <row r="9">
      <c r="A9" s="5" t="n">
        <v>46505</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46480</v>
      </c>
      <c r="B14" s="6" t="inlineStr">
        <is>
          <t>Sat</t>
        </is>
      </c>
      <c r="C14" s="6" t="inlineStr">
        <is>
          <t>JCP&amp;L / FirstEnergy</t>
        </is>
      </c>
      <c r="D14" s="6" t="inlineStr">
        <is>
          <t>2 Essential</t>
        </is>
      </c>
      <c r="E14" s="6" t="inlineStr">
        <is>
          <t>monthly</t>
        </is>
      </c>
      <c r="F14" s="11" t="n">
        <v>160.76</v>
      </c>
      <c r="G14" s="7" t="n">
        <v>418.98</v>
      </c>
      <c r="H14" s="6" t="inlineStr">
        <is>
          <t>Seasonal profile</t>
        </is>
      </c>
      <c r="I14" s="12" t="inlineStr">
        <is>
          <t>FIXED</t>
        </is>
      </c>
      <c r="J14" s="6" t="inlineStr">
        <is>
          <t>no</t>
        </is>
      </c>
      <c r="K14" s="6" t="inlineStr">
        <is>
          <t>130.28 - 489.87</t>
        </is>
      </c>
    </row>
    <row r="15">
      <c r="A15" s="5" t="n">
        <v>46481</v>
      </c>
      <c r="B15" s="6" t="inlineStr">
        <is>
          <t>Sun</t>
        </is>
      </c>
      <c r="C15" s="6" t="inlineStr">
        <is>
          <t>Groceries</t>
        </is>
      </c>
      <c r="D15" s="6" t="inlineStr">
        <is>
          <t>2 Essential</t>
        </is>
      </c>
      <c r="E15" s="6" t="inlineStr">
        <is>
          <t>weekly</t>
        </is>
      </c>
      <c r="F15" s="11" t="n">
        <v>319.09</v>
      </c>
      <c r="G15" s="7" t="n">
        <v>319.09</v>
      </c>
      <c r="H15" s="6" t="inlineStr">
        <is>
          <t>Stated amount</t>
        </is>
      </c>
      <c r="I15" s="12" t="inlineStr">
        <is>
          <t>FIXED</t>
        </is>
      </c>
      <c r="J15" s="6" t="inlineStr">
        <is>
          <t>no</t>
        </is>
      </c>
      <c r="K15" s="6" t="inlineStr">
        <is>
          <t>12.78 - 791.32</t>
        </is>
      </c>
    </row>
    <row r="16">
      <c r="A16" s="5" t="n">
        <v>46481</v>
      </c>
      <c r="B16" s="6" t="inlineStr">
        <is>
          <t>Sun</t>
        </is>
      </c>
      <c r="C16" s="6" t="inlineStr">
        <is>
          <t>Culligan</t>
        </is>
      </c>
      <c r="D16" s="6" t="inlineStr">
        <is>
          <t>5 Discretionary</t>
        </is>
      </c>
      <c r="E16" s="6" t="inlineStr">
        <is>
          <t>monthly</t>
        </is>
      </c>
      <c r="F16" s="11" t="n">
        <v>307.7</v>
      </c>
      <c r="G16" s="7" t="n">
        <v>40.39</v>
      </c>
      <c r="H16" s="13" t="inlineStr">
        <is>
          <t>Forecast at worst seen</t>
        </is>
      </c>
      <c r="I16" s="6" t="inlineStr">
        <is>
          <t>UNKNOWN</t>
        </is>
      </c>
      <c r="J16" s="6" t="inlineStr">
        <is>
          <t>no</t>
        </is>
      </c>
      <c r="K16" s="6" t="inlineStr">
        <is>
          <t>40.39 - 307.70</t>
        </is>
      </c>
    </row>
    <row r="17">
      <c r="A17" s="5" t="n">
        <v>46481</v>
      </c>
      <c r="B17" s="6" t="inlineStr">
        <is>
          <t>Sun</t>
        </is>
      </c>
      <c r="C17" s="6" t="inlineStr">
        <is>
          <t>Fuel</t>
        </is>
      </c>
      <c r="D17" s="6" t="inlineStr">
        <is>
          <t>2 Essential</t>
        </is>
      </c>
      <c r="E17" s="6" t="inlineStr">
        <is>
          <t>weekly</t>
        </is>
      </c>
      <c r="F17" s="11" t="n">
        <v>90.77</v>
      </c>
      <c r="G17" s="7" t="n">
        <v>90.77</v>
      </c>
      <c r="H17" s="6" t="inlineStr">
        <is>
          <t>Stated amount</t>
        </is>
      </c>
      <c r="I17" s="12" t="inlineStr">
        <is>
          <t>FIXED</t>
        </is>
      </c>
      <c r="J17" s="6" t="inlineStr">
        <is>
          <t>no</t>
        </is>
      </c>
      <c r="K17" s="6" t="inlineStr">
        <is>
          <t>20.00 - 447.12</t>
        </is>
      </c>
    </row>
    <row r="18">
      <c r="A18" s="5" t="n">
        <v>46481</v>
      </c>
      <c r="B18" s="6" t="inlineStr">
        <is>
          <t>Sun</t>
        </is>
      </c>
      <c r="C18" s="6" t="inlineStr">
        <is>
          <t>TJX Rewards</t>
        </is>
      </c>
      <c r="D18" s="6" t="inlineStr">
        <is>
          <t>5 Discretionary</t>
        </is>
      </c>
      <c r="E18" s="6" t="inlineStr">
        <is>
          <t>monthly</t>
        </is>
      </c>
      <c r="F18" s="11" t="n">
        <v>36</v>
      </c>
      <c r="G18" s="7" t="n">
        <v>36</v>
      </c>
      <c r="H18" s="6" t="inlineStr">
        <is>
          <t>Stated amount</t>
        </is>
      </c>
      <c r="I18" s="6" t="inlineStr">
        <is>
          <t>UNKNOWN</t>
        </is>
      </c>
      <c r="J18" s="6" t="inlineStr">
        <is>
          <t>yes</t>
        </is>
      </c>
      <c r="K18" s="6" t="inlineStr"/>
    </row>
    <row r="19">
      <c r="A19" s="5" t="n">
        <v>46482</v>
      </c>
      <c r="B19" s="6" t="inlineStr">
        <is>
          <t>Mon</t>
        </is>
      </c>
      <c r="C19" s="6" t="inlineStr">
        <is>
          <t>Mortgage</t>
        </is>
      </c>
      <c r="D19" s="6" t="inlineStr">
        <is>
          <t>1 Secured/critical</t>
        </is>
      </c>
      <c r="E19" s="6" t="inlineStr">
        <is>
          <t>biweekly</t>
        </is>
      </c>
      <c r="F19" s="11" t="n">
        <v>1801.62</v>
      </c>
      <c r="G19" s="7" t="n">
        <v>1801.62</v>
      </c>
      <c r="H19" s="6" t="inlineStr">
        <is>
          <t>Stated amount</t>
        </is>
      </c>
      <c r="I19" s="12" t="inlineStr">
        <is>
          <t>FIXED</t>
        </is>
      </c>
      <c r="J19" s="6" t="inlineStr">
        <is>
          <t>no</t>
        </is>
      </c>
      <c r="K19" s="6" t="inlineStr"/>
    </row>
    <row r="20">
      <c r="A20" s="5" t="n">
        <v>46483</v>
      </c>
      <c r="B20" s="6" t="inlineStr">
        <is>
          <t>Tue</t>
        </is>
      </c>
      <c r="C20" s="6" t="inlineStr">
        <is>
          <t>One Main loan</t>
        </is>
      </c>
      <c r="D20" s="6" t="inlineStr">
        <is>
          <t>3 Required debt</t>
        </is>
      </c>
      <c r="E20" s="6" t="inlineStr">
        <is>
          <t>monthly</t>
        </is>
      </c>
      <c r="F20" s="11" t="n">
        <v>388.24</v>
      </c>
      <c r="G20" s="7" t="n">
        <v>388.24</v>
      </c>
      <c r="H20" s="6" t="inlineStr">
        <is>
          <t>Stated amount</t>
        </is>
      </c>
      <c r="I20" s="12" t="inlineStr">
        <is>
          <t>FIXED</t>
        </is>
      </c>
      <c r="J20" s="6" t="inlineStr">
        <is>
          <t>yes</t>
        </is>
      </c>
      <c r="K20" s="6" t="inlineStr"/>
    </row>
    <row r="21">
      <c r="A21" s="5" t="n">
        <v>46485</v>
      </c>
      <c r="B21" s="6" t="inlineStr">
        <is>
          <t>Thu</t>
        </is>
      </c>
      <c r="C21" s="6" t="inlineStr">
        <is>
          <t>PNC</t>
        </is>
      </c>
      <c r="D21" s="6" t="inlineStr">
        <is>
          <t>3 Required debt</t>
        </is>
      </c>
      <c r="E21" s="6" t="inlineStr">
        <is>
          <t>monthly</t>
        </is>
      </c>
      <c r="F21" s="11" t="n">
        <v>150</v>
      </c>
      <c r="G21" s="7" t="n">
        <v>70</v>
      </c>
      <c r="H21" s="13" t="inlineStr">
        <is>
          <t>Forecast at worst seen</t>
        </is>
      </c>
      <c r="I21" s="6" t="inlineStr">
        <is>
          <t>UNKNOWN</t>
        </is>
      </c>
      <c r="J21" s="6" t="inlineStr">
        <is>
          <t>no</t>
        </is>
      </c>
      <c r="K21" s="6" t="inlineStr">
        <is>
          <t>70.00 - 150.00</t>
        </is>
      </c>
    </row>
    <row r="22">
      <c r="A22" s="5" t="n">
        <v>46488</v>
      </c>
      <c r="B22" s="6" t="inlineStr">
        <is>
          <t>Sun</t>
        </is>
      </c>
      <c r="C22" s="6" t="inlineStr">
        <is>
          <t>Elizabethtown Gas</t>
        </is>
      </c>
      <c r="D22" s="6" t="inlineStr">
        <is>
          <t>2 Essential</t>
        </is>
      </c>
      <c r="E22" s="6" t="inlineStr">
        <is>
          <t>monthly</t>
        </is>
      </c>
      <c r="F22" s="11" t="n">
        <v>329.14</v>
      </c>
      <c r="G22" s="7" t="n">
        <v>54.03</v>
      </c>
      <c r="H22" s="6" t="inlineStr">
        <is>
          <t>Seasonal profile</t>
        </is>
      </c>
      <c r="I22" s="12" t="inlineStr">
        <is>
          <t>FIXED</t>
        </is>
      </c>
      <c r="J22" s="6" t="inlineStr">
        <is>
          <t>no</t>
        </is>
      </c>
      <c r="K22" s="6" t="inlineStr">
        <is>
          <t>54.03 - 550.83</t>
        </is>
      </c>
    </row>
    <row r="23">
      <c r="A23" s="5" t="n">
        <v>46488</v>
      </c>
      <c r="B23" s="6" t="inlineStr">
        <is>
          <t>Sun</t>
        </is>
      </c>
      <c r="C23" s="6" t="inlineStr">
        <is>
          <t>Groceries</t>
        </is>
      </c>
      <c r="D23" s="6" t="inlineStr">
        <is>
          <t>2 Essential</t>
        </is>
      </c>
      <c r="E23" s="6" t="inlineStr">
        <is>
          <t>weekly</t>
        </is>
      </c>
      <c r="F23" s="11" t="n">
        <v>319.09</v>
      </c>
      <c r="G23" s="7" t="n">
        <v>319.09</v>
      </c>
      <c r="H23" s="6" t="inlineStr">
        <is>
          <t>Stated amount</t>
        </is>
      </c>
      <c r="I23" s="12" t="inlineStr">
        <is>
          <t>FIXED</t>
        </is>
      </c>
      <c r="J23" s="6" t="inlineStr">
        <is>
          <t>no</t>
        </is>
      </c>
      <c r="K23" s="6" t="inlineStr">
        <is>
          <t>12.78 - 791.32</t>
        </is>
      </c>
    </row>
    <row r="24">
      <c r="A24" s="5" t="n">
        <v>46488</v>
      </c>
      <c r="B24" s="6" t="inlineStr">
        <is>
          <t>Sun</t>
        </is>
      </c>
      <c r="C24" s="6" t="inlineStr">
        <is>
          <t>Fuel</t>
        </is>
      </c>
      <c r="D24" s="6" t="inlineStr">
        <is>
          <t>2 Essential</t>
        </is>
      </c>
      <c r="E24" s="6" t="inlineStr">
        <is>
          <t>weekly</t>
        </is>
      </c>
      <c r="F24" s="11" t="n">
        <v>90.77</v>
      </c>
      <c r="G24" s="7" t="n">
        <v>90.77</v>
      </c>
      <c r="H24" s="6" t="inlineStr">
        <is>
          <t>Stated amount</t>
        </is>
      </c>
      <c r="I24" s="12" t="inlineStr">
        <is>
          <t>FIXED</t>
        </is>
      </c>
      <c r="J24" s="6" t="inlineStr">
        <is>
          <t>no</t>
        </is>
      </c>
      <c r="K24" s="6" t="inlineStr">
        <is>
          <t>20.00 - 447.12</t>
        </is>
      </c>
    </row>
    <row r="25">
      <c r="A25" s="5" t="n">
        <v>46488</v>
      </c>
      <c r="B25" s="6" t="inlineStr">
        <is>
          <t>Sun</t>
        </is>
      </c>
      <c r="C25" s="6" t="inlineStr">
        <is>
          <t>T-Mobile Lia</t>
        </is>
      </c>
      <c r="D25" s="6" t="inlineStr">
        <is>
          <t>2 Essential</t>
        </is>
      </c>
      <c r="E25" s="6" t="inlineStr">
        <is>
          <t>monthly</t>
        </is>
      </c>
      <c r="F25" s="11" t="n">
        <v>20.75</v>
      </c>
      <c r="G25" s="7" t="n">
        <v>20.75</v>
      </c>
      <c r="H25" s="6" t="inlineStr">
        <is>
          <t>Stated amount</t>
        </is>
      </c>
      <c r="I25" s="6" t="inlineStr">
        <is>
          <t>UNKNOWN</t>
        </is>
      </c>
      <c r="J25" s="6" t="inlineStr">
        <is>
          <t>yes</t>
        </is>
      </c>
      <c r="K25" s="6" t="inlineStr"/>
    </row>
    <row r="26">
      <c r="A26" s="5" t="n">
        <v>46489</v>
      </c>
      <c r="B26" s="6" t="inlineStr">
        <is>
          <t>Mon</t>
        </is>
      </c>
      <c r="C26" s="6" t="inlineStr">
        <is>
          <t>Hanover Auto</t>
        </is>
      </c>
      <c r="D26" s="6" t="inlineStr">
        <is>
          <t>2 Essential</t>
        </is>
      </c>
      <c r="E26" s="6" t="inlineStr">
        <is>
          <t>monthly</t>
        </is>
      </c>
      <c r="F26" s="11" t="n">
        <v>513.27</v>
      </c>
      <c r="G26" s="7" t="n">
        <v>513.27</v>
      </c>
      <c r="H26" s="6" t="inlineStr">
        <is>
          <t>Stated amount</t>
        </is>
      </c>
      <c r="I26" s="12" t="inlineStr">
        <is>
          <t>FIXED</t>
        </is>
      </c>
      <c r="J26" s="6" t="inlineStr">
        <is>
          <t>no</t>
        </is>
      </c>
      <c r="K26" s="6" t="inlineStr"/>
    </row>
    <row r="27">
      <c r="A27" s="5" t="n">
        <v>46489</v>
      </c>
      <c r="B27" s="6" t="inlineStr">
        <is>
          <t>Mon</t>
        </is>
      </c>
      <c r="C27" s="6" t="inlineStr">
        <is>
          <t>Comenity</t>
        </is>
      </c>
      <c r="D27" s="6" t="inlineStr">
        <is>
          <t>3 Required debt</t>
        </is>
      </c>
      <c r="E27" s="6" t="inlineStr">
        <is>
          <t>monthly</t>
        </is>
      </c>
      <c r="F27" s="11" t="n">
        <v>65</v>
      </c>
      <c r="G27" s="7" t="n">
        <v>50</v>
      </c>
      <c r="H27" s="13" t="inlineStr">
        <is>
          <t>Forecast at worst seen</t>
        </is>
      </c>
      <c r="I27" s="6" t="inlineStr">
        <is>
          <t>UNKNOWN</t>
        </is>
      </c>
      <c r="J27" s="6" t="inlineStr">
        <is>
          <t>no</t>
        </is>
      </c>
      <c r="K27" s="6" t="inlineStr">
        <is>
          <t>40.00 - 65.00</t>
        </is>
      </c>
    </row>
    <row r="28">
      <c r="A28" s="5" t="n">
        <v>46491</v>
      </c>
      <c r="B28" s="6" t="inlineStr">
        <is>
          <t>Wed</t>
        </is>
      </c>
      <c r="C28" s="6" t="inlineStr">
        <is>
          <t>Home Depot</t>
        </is>
      </c>
      <c r="D28" s="6" t="inlineStr">
        <is>
          <t>5 Discretionary</t>
        </is>
      </c>
      <c r="E28" s="6" t="inlineStr">
        <is>
          <t>monthly</t>
        </is>
      </c>
      <c r="F28" s="11" t="n">
        <v>100</v>
      </c>
      <c r="G28" s="7" t="n">
        <v>100</v>
      </c>
      <c r="H28" s="6" t="inlineStr">
        <is>
          <t>Stated amount</t>
        </is>
      </c>
      <c r="I28" s="6" t="inlineStr">
        <is>
          <t>UNKNOWN</t>
        </is>
      </c>
      <c r="J28" s="6" t="inlineStr">
        <is>
          <t>yes</t>
        </is>
      </c>
      <c r="K28" s="6" t="inlineStr">
        <is>
          <t>32.70 - 100.00</t>
        </is>
      </c>
    </row>
    <row r="29">
      <c r="A29" s="5" t="n">
        <v>46492</v>
      </c>
      <c r="B29" s="6" t="inlineStr">
        <is>
          <t>Thu</t>
        </is>
      </c>
      <c r="C29" s="6" t="inlineStr">
        <is>
          <t>Loew &amp; Patel braces</t>
        </is>
      </c>
      <c r="D29" s="6" t="inlineStr">
        <is>
          <t>4 Scheduled</t>
        </is>
      </c>
      <c r="E29" s="6" t="inlineStr">
        <is>
          <t>monthly</t>
        </is>
      </c>
      <c r="F29" s="11" t="n">
        <v>400</v>
      </c>
      <c r="G29" s="7" t="n">
        <v>400</v>
      </c>
      <c r="H29" s="6" t="inlineStr">
        <is>
          <t>Stated amount</t>
        </is>
      </c>
      <c r="I29" s="6" t="inlineStr">
        <is>
          <t>UNKNOWN</t>
        </is>
      </c>
      <c r="J29" s="6" t="inlineStr">
        <is>
          <t>no</t>
        </is>
      </c>
      <c r="K29" s="6" t="inlineStr">
        <is>
          <t>15.00 - 0.00</t>
        </is>
      </c>
    </row>
    <row r="30">
      <c r="A30" s="5" t="n">
        <v>46492</v>
      </c>
      <c r="B30" s="6" t="inlineStr">
        <is>
          <t>Thu</t>
        </is>
      </c>
      <c r="C30" s="6" t="inlineStr">
        <is>
          <t>Upstart debt consol</t>
        </is>
      </c>
      <c r="D30" s="6" t="inlineStr">
        <is>
          <t>3 Required debt</t>
        </is>
      </c>
      <c r="E30" s="6" t="inlineStr">
        <is>
          <t>monthly</t>
        </is>
      </c>
      <c r="F30" s="11" t="n">
        <v>161</v>
      </c>
      <c r="G30" s="7" t="n">
        <v>161</v>
      </c>
      <c r="H30" s="6" t="inlineStr">
        <is>
          <t>Stated amount</t>
        </is>
      </c>
      <c r="I30" s="12" t="inlineStr">
        <is>
          <t>FIXED</t>
        </is>
      </c>
      <c r="J30" s="6" t="inlineStr">
        <is>
          <t>yes</t>
        </is>
      </c>
      <c r="K30" s="6" t="inlineStr"/>
    </row>
    <row r="31">
      <c r="A31" s="5" t="n">
        <v>46494</v>
      </c>
      <c r="B31" s="6" t="inlineStr">
        <is>
          <t>Sat</t>
        </is>
      </c>
      <c r="C31" s="6" t="inlineStr">
        <is>
          <t>Capital One CC</t>
        </is>
      </c>
      <c r="D31" s="6" t="inlineStr">
        <is>
          <t>3 Required debt</t>
        </is>
      </c>
      <c r="E31" s="6" t="inlineStr">
        <is>
          <t>monthly</t>
        </is>
      </c>
      <c r="F31" s="11" t="n">
        <v>163</v>
      </c>
      <c r="G31" s="7" t="n">
        <v>105</v>
      </c>
      <c r="H31" s="14" t="inlineStr">
        <is>
          <t>SUPERSEDED - see notes</t>
        </is>
      </c>
      <c r="I31" s="6" t="inlineStr">
        <is>
          <t>UNKNOWN</t>
        </is>
      </c>
      <c r="J31" s="6" t="inlineStr">
        <is>
          <t>yes</t>
        </is>
      </c>
      <c r="K31" s="6" t="inlineStr">
        <is>
          <t>154.00 - 163.00</t>
        </is>
      </c>
    </row>
    <row r="32">
      <c r="A32" s="5" t="n">
        <v>46494</v>
      </c>
      <c r="B32" s="6" t="inlineStr">
        <is>
          <t>Sat</t>
        </is>
      </c>
      <c r="C32" s="6" t="inlineStr">
        <is>
          <t>Chase CC Amazon</t>
        </is>
      </c>
      <c r="D32" s="6" t="inlineStr">
        <is>
          <t>3 Required debt</t>
        </is>
      </c>
      <c r="E32" s="6" t="inlineStr">
        <is>
          <t>monthly</t>
        </is>
      </c>
      <c r="F32" s="11" t="n">
        <v>136</v>
      </c>
      <c r="G32" s="7" t="n">
        <v>80</v>
      </c>
      <c r="H32" s="14" t="inlineStr">
        <is>
          <t>SUPERSEDED - see notes</t>
        </is>
      </c>
      <c r="I32" s="6" t="inlineStr">
        <is>
          <t>UNKNOWN</t>
        </is>
      </c>
      <c r="J32" s="6" t="inlineStr">
        <is>
          <t>yes</t>
        </is>
      </c>
      <c r="K32" s="6" t="inlineStr">
        <is>
          <t>124.00 - 136.00</t>
        </is>
      </c>
    </row>
    <row r="33">
      <c r="A33" s="5" t="n">
        <v>46495</v>
      </c>
      <c r="B33" s="6" t="inlineStr">
        <is>
          <t>Sun</t>
        </is>
      </c>
      <c r="C33" s="6" t="inlineStr">
        <is>
          <t>Groceries</t>
        </is>
      </c>
      <c r="D33" s="6" t="inlineStr">
        <is>
          <t>2 Essential</t>
        </is>
      </c>
      <c r="E33" s="6" t="inlineStr">
        <is>
          <t>weekly</t>
        </is>
      </c>
      <c r="F33" s="11" t="n">
        <v>319.09</v>
      </c>
      <c r="G33" s="7" t="n">
        <v>319.09</v>
      </c>
      <c r="H33" s="6" t="inlineStr">
        <is>
          <t>Stated amount</t>
        </is>
      </c>
      <c r="I33" s="12" t="inlineStr">
        <is>
          <t>FIXED</t>
        </is>
      </c>
      <c r="J33" s="6" t="inlineStr">
        <is>
          <t>no</t>
        </is>
      </c>
      <c r="K33" s="6" t="inlineStr">
        <is>
          <t>12.78 - 791.32</t>
        </is>
      </c>
    </row>
    <row r="34">
      <c r="A34" s="5" t="n">
        <v>46495</v>
      </c>
      <c r="B34" s="6" t="inlineStr">
        <is>
          <t>Sun</t>
        </is>
      </c>
      <c r="C34" s="6" t="inlineStr">
        <is>
          <t>CCU car loan</t>
        </is>
      </c>
      <c r="D34" s="6" t="inlineStr">
        <is>
          <t>1 Secured/critical</t>
        </is>
      </c>
      <c r="E34" s="6" t="inlineStr">
        <is>
          <t>monthly</t>
        </is>
      </c>
      <c r="F34" s="11" t="n">
        <v>306.9</v>
      </c>
      <c r="G34" s="7" t="n">
        <v>306.9</v>
      </c>
      <c r="H34" s="6" t="inlineStr">
        <is>
          <t>Stated amount</t>
        </is>
      </c>
      <c r="I34" s="12" t="inlineStr">
        <is>
          <t>FIXED</t>
        </is>
      </c>
      <c r="J34" s="6" t="inlineStr">
        <is>
          <t>yes</t>
        </is>
      </c>
      <c r="K34" s="6" t="inlineStr"/>
    </row>
    <row r="35">
      <c r="A35" s="5" t="n">
        <v>46495</v>
      </c>
      <c r="B35" s="6" t="inlineStr">
        <is>
          <t>Sun</t>
        </is>
      </c>
      <c r="C35" s="6" t="inlineStr">
        <is>
          <t>Comcast</t>
        </is>
      </c>
      <c r="D35" s="6" t="inlineStr">
        <is>
          <t>2 Essential</t>
        </is>
      </c>
      <c r="E35" s="6" t="inlineStr">
        <is>
          <t>monthly</t>
        </is>
      </c>
      <c r="F35" s="11" t="n">
        <v>138.93</v>
      </c>
      <c r="G35" s="7" t="n">
        <v>138.93</v>
      </c>
      <c r="H35" s="6" t="inlineStr">
        <is>
          <t>Stated amount</t>
        </is>
      </c>
      <c r="I35" s="6" t="inlineStr">
        <is>
          <t>UNKNOWN</t>
        </is>
      </c>
      <c r="J35" s="6" t="inlineStr">
        <is>
          <t>yes</t>
        </is>
      </c>
      <c r="K35" s="6" t="inlineStr"/>
    </row>
    <row r="36">
      <c r="A36" s="5" t="n">
        <v>46495</v>
      </c>
      <c r="B36" s="6" t="inlineStr">
        <is>
          <t>Sun</t>
        </is>
      </c>
      <c r="C36" s="6" t="inlineStr">
        <is>
          <t>Lowes</t>
        </is>
      </c>
      <c r="D36" s="6" t="inlineStr">
        <is>
          <t>5 Discretionary</t>
        </is>
      </c>
      <c r="E36" s="6" t="inlineStr">
        <is>
          <t>monthly</t>
        </is>
      </c>
      <c r="F36" s="11" t="n">
        <v>126</v>
      </c>
      <c r="G36" s="7" t="n">
        <v>69</v>
      </c>
      <c r="H36" s="14" t="inlineStr">
        <is>
          <t>SUPERSEDED - see notes</t>
        </is>
      </c>
      <c r="I36" s="6" t="inlineStr">
        <is>
          <t>UNKNOWN</t>
        </is>
      </c>
      <c r="J36" s="6" t="inlineStr">
        <is>
          <t>yes</t>
        </is>
      </c>
      <c r="K36" s="6" t="inlineStr">
        <is>
          <t>122.00 - 126.00</t>
        </is>
      </c>
    </row>
    <row r="37">
      <c r="A37" s="5" t="n">
        <v>46495</v>
      </c>
      <c r="B37" s="6" t="inlineStr">
        <is>
          <t>Sun</t>
        </is>
      </c>
      <c r="C37" s="6" t="inlineStr">
        <is>
          <t>Fuel</t>
        </is>
      </c>
      <c r="D37" s="6" t="inlineStr">
        <is>
          <t>2 Essential</t>
        </is>
      </c>
      <c r="E37" s="6" t="inlineStr">
        <is>
          <t>weekly</t>
        </is>
      </c>
      <c r="F37" s="11" t="n">
        <v>90.77</v>
      </c>
      <c r="G37" s="7" t="n">
        <v>90.77</v>
      </c>
      <c r="H37" s="6" t="inlineStr">
        <is>
          <t>Stated amount</t>
        </is>
      </c>
      <c r="I37" s="12" t="inlineStr">
        <is>
          <t>FIXED</t>
        </is>
      </c>
      <c r="J37" s="6" t="inlineStr">
        <is>
          <t>no</t>
        </is>
      </c>
      <c r="K37" s="6" t="inlineStr">
        <is>
          <t>20.00 - 447.12</t>
        </is>
      </c>
    </row>
    <row r="38">
      <c r="A38" s="5" t="n">
        <v>46495</v>
      </c>
      <c r="B38" s="6" t="inlineStr">
        <is>
          <t>Sun</t>
        </is>
      </c>
      <c r="C38" s="6" t="inlineStr">
        <is>
          <t>Upgrade basement</t>
        </is>
      </c>
      <c r="D38" s="6" t="inlineStr">
        <is>
          <t>3 Required debt</t>
        </is>
      </c>
      <c r="E38" s="6" t="inlineStr">
        <is>
          <t>monthly</t>
        </is>
      </c>
      <c r="F38" s="11" t="n">
        <v>86.36</v>
      </c>
      <c r="G38" s="7" t="n">
        <v>86.36</v>
      </c>
      <c r="H38" s="6" t="inlineStr">
        <is>
          <t>Stated amount</t>
        </is>
      </c>
      <c r="I38" s="12" t="inlineStr">
        <is>
          <t>FIXED</t>
        </is>
      </c>
      <c r="J38" s="6" t="inlineStr">
        <is>
          <t>yes</t>
        </is>
      </c>
      <c r="K38" s="6" t="inlineStr"/>
    </row>
    <row r="39">
      <c r="A39" s="5" t="n">
        <v>46496</v>
      </c>
      <c r="B39" s="6" t="inlineStr">
        <is>
          <t>Mon</t>
        </is>
      </c>
      <c r="C39" s="6" t="inlineStr">
        <is>
          <t>Mortgage</t>
        </is>
      </c>
      <c r="D39" s="6" t="inlineStr">
        <is>
          <t>1 Secured/critical</t>
        </is>
      </c>
      <c r="E39" s="6" t="inlineStr">
        <is>
          <t>biweekly</t>
        </is>
      </c>
      <c r="F39" s="11" t="n">
        <v>1801.62</v>
      </c>
      <c r="G39" s="7" t="n">
        <v>1801.62</v>
      </c>
      <c r="H39" s="6" t="inlineStr">
        <is>
          <t>Stated amount</t>
        </is>
      </c>
      <c r="I39" s="12" t="inlineStr">
        <is>
          <t>FIXED</t>
        </is>
      </c>
      <c r="J39" s="6" t="inlineStr">
        <is>
          <t>no</t>
        </is>
      </c>
      <c r="K39" s="6" t="inlineStr"/>
    </row>
    <row r="40">
      <c r="A40" s="5" t="n">
        <v>46496</v>
      </c>
      <c r="B40" s="6" t="inlineStr">
        <is>
          <t>Mon</t>
        </is>
      </c>
      <c r="C40" s="6" t="inlineStr">
        <is>
          <t>IRS state</t>
        </is>
      </c>
      <c r="D40" s="6" t="inlineStr">
        <is>
          <t>2 Essential</t>
        </is>
      </c>
      <c r="E40" s="6" t="inlineStr">
        <is>
          <t>monthly</t>
        </is>
      </c>
      <c r="F40" s="11" t="n">
        <v>114</v>
      </c>
      <c r="G40" s="7" t="n">
        <v>114</v>
      </c>
      <c r="H40" s="6" t="inlineStr">
        <is>
          <t>Stated amount</t>
        </is>
      </c>
      <c r="I40" s="12" t="inlineStr">
        <is>
          <t>FIXED</t>
        </is>
      </c>
      <c r="J40" s="6" t="inlineStr">
        <is>
          <t>no</t>
        </is>
      </c>
      <c r="K40" s="6" t="inlineStr"/>
    </row>
    <row r="41">
      <c r="A41" s="5" t="n">
        <v>46496</v>
      </c>
      <c r="B41" s="6" t="inlineStr">
        <is>
          <t>Mon</t>
        </is>
      </c>
      <c r="C41" s="6" t="inlineStr">
        <is>
          <t>IRS federal</t>
        </is>
      </c>
      <c r="D41" s="6" t="inlineStr">
        <is>
          <t>2 Essential</t>
        </is>
      </c>
      <c r="E41" s="6" t="inlineStr">
        <is>
          <t>monthly</t>
        </is>
      </c>
      <c r="F41" s="11" t="n">
        <v>103</v>
      </c>
      <c r="G41" s="7" t="n">
        <v>103</v>
      </c>
      <c r="H41" s="6" t="inlineStr">
        <is>
          <t>Stated amount</t>
        </is>
      </c>
      <c r="I41" s="12" t="inlineStr">
        <is>
          <t>FIXED</t>
        </is>
      </c>
      <c r="J41" s="6" t="inlineStr">
        <is>
          <t>no</t>
        </is>
      </c>
      <c r="K41" s="6" t="inlineStr"/>
    </row>
    <row r="42">
      <c r="A42" s="5" t="n">
        <v>46499</v>
      </c>
      <c r="B42" s="6" t="inlineStr">
        <is>
          <t>Thu</t>
        </is>
      </c>
      <c r="C42" s="6" t="inlineStr">
        <is>
          <t>Chase CC United</t>
        </is>
      </c>
      <c r="D42" s="6" t="inlineStr">
        <is>
          <t>3 Required debt</t>
        </is>
      </c>
      <c r="E42" s="6" t="inlineStr">
        <is>
          <t>monthly</t>
        </is>
      </c>
      <c r="F42" s="11" t="n">
        <v>88</v>
      </c>
      <c r="G42" s="7" t="n">
        <v>46</v>
      </c>
      <c r="H42" s="14" t="inlineStr">
        <is>
          <t>SUPERSEDED - see notes</t>
        </is>
      </c>
      <c r="I42" s="6" t="inlineStr">
        <is>
          <t>UNKNOWN</t>
        </is>
      </c>
      <c r="J42" s="6" t="inlineStr">
        <is>
          <t>yes</t>
        </is>
      </c>
      <c r="K42" s="6" t="inlineStr">
        <is>
          <t>76.00 - 88.00</t>
        </is>
      </c>
    </row>
    <row r="43">
      <c r="A43" s="5" t="n">
        <v>46500</v>
      </c>
      <c r="B43" s="6" t="inlineStr">
        <is>
          <t>Fri</t>
        </is>
      </c>
      <c r="C43" s="6" t="inlineStr">
        <is>
          <t>Netflix</t>
        </is>
      </c>
      <c r="D43" s="6" t="inlineStr">
        <is>
          <t>5 Discretionary</t>
        </is>
      </c>
      <c r="E43" s="6" t="inlineStr">
        <is>
          <t>monthly</t>
        </is>
      </c>
      <c r="F43" s="11" t="n">
        <v>21.31</v>
      </c>
      <c r="G43" s="7" t="n">
        <v>21.31</v>
      </c>
      <c r="H43" s="6" t="inlineStr">
        <is>
          <t>Stated amount</t>
        </is>
      </c>
      <c r="I43" s="6" t="inlineStr">
        <is>
          <t>UNKNOWN</t>
        </is>
      </c>
      <c r="J43" s="6" t="inlineStr">
        <is>
          <t>yes</t>
        </is>
      </c>
      <c r="K43" s="6" t="inlineStr"/>
    </row>
    <row r="44">
      <c r="A44" s="5" t="n">
        <v>46501</v>
      </c>
      <c r="B44" s="6" t="inlineStr">
        <is>
          <t>Sat</t>
        </is>
      </c>
      <c r="C44" s="6" t="inlineStr">
        <is>
          <t>Kia</t>
        </is>
      </c>
      <c r="D44" s="6" t="inlineStr">
        <is>
          <t>1 Secured/critical</t>
        </is>
      </c>
      <c r="E44" s="6" t="inlineStr">
        <is>
          <t>monthly</t>
        </is>
      </c>
      <c r="F44" s="11" t="n">
        <v>742.65</v>
      </c>
      <c r="G44" s="7" t="n">
        <v>742.65</v>
      </c>
      <c r="H44" s="6" t="inlineStr">
        <is>
          <t>Stated amount</t>
        </is>
      </c>
      <c r="I44" s="12" t="inlineStr">
        <is>
          <t>FIXED</t>
        </is>
      </c>
      <c r="J44" s="6" t="inlineStr">
        <is>
          <t>yes</t>
        </is>
      </c>
      <c r="K44" s="6" t="inlineStr"/>
    </row>
    <row r="45">
      <c r="A45" s="5" t="n">
        <v>46501</v>
      </c>
      <c r="B45" s="6" t="inlineStr">
        <is>
          <t>Sat</t>
        </is>
      </c>
      <c r="C45" s="6" t="inlineStr">
        <is>
          <t>Upstart past bills (from Sep)</t>
        </is>
      </c>
      <c r="D45" s="6" t="inlineStr">
        <is>
          <t>3 Required debt</t>
        </is>
      </c>
      <c r="E45" s="6" t="inlineStr">
        <is>
          <t>monthly</t>
        </is>
      </c>
      <c r="F45" s="11" t="n">
        <v>337.61</v>
      </c>
      <c r="G45" s="7" t="n">
        <v>337.61</v>
      </c>
      <c r="H45" s="6" t="inlineStr">
        <is>
          <t>Stated amount</t>
        </is>
      </c>
      <c r="I45" s="12" t="inlineStr">
        <is>
          <t>FIXED</t>
        </is>
      </c>
      <c r="J45" s="6" t="inlineStr">
        <is>
          <t>yes</t>
        </is>
      </c>
      <c r="K45" s="6" t="inlineStr"/>
    </row>
    <row r="46">
      <c r="A46" s="5" t="n">
        <v>46502</v>
      </c>
      <c r="B46" s="6" t="inlineStr">
        <is>
          <t>Sun</t>
        </is>
      </c>
      <c r="C46" s="6" t="inlineStr">
        <is>
          <t>Groceries</t>
        </is>
      </c>
      <c r="D46" s="6" t="inlineStr">
        <is>
          <t>2 Essential</t>
        </is>
      </c>
      <c r="E46" s="6" t="inlineStr">
        <is>
          <t>weekly</t>
        </is>
      </c>
      <c r="F46" s="11" t="n">
        <v>319.09</v>
      </c>
      <c r="G46" s="7" t="n">
        <v>319.09</v>
      </c>
      <c r="H46" s="6" t="inlineStr">
        <is>
          <t>Stated amount</t>
        </is>
      </c>
      <c r="I46" s="12" t="inlineStr">
        <is>
          <t>FIXED</t>
        </is>
      </c>
      <c r="J46" s="6" t="inlineStr">
        <is>
          <t>no</t>
        </is>
      </c>
      <c r="K46" s="6" t="inlineStr">
        <is>
          <t>12.78 - 791.32</t>
        </is>
      </c>
    </row>
    <row r="47">
      <c r="A47" s="5" t="n">
        <v>46502</v>
      </c>
      <c r="B47" s="6" t="inlineStr">
        <is>
          <t>Sun</t>
        </is>
      </c>
      <c r="C47" s="6" t="inlineStr">
        <is>
          <t>Fuel</t>
        </is>
      </c>
      <c r="D47" s="6" t="inlineStr">
        <is>
          <t>2 Essential</t>
        </is>
      </c>
      <c r="E47" s="6" t="inlineStr">
        <is>
          <t>weekly</t>
        </is>
      </c>
      <c r="F47" s="11" t="n">
        <v>90.77</v>
      </c>
      <c r="G47" s="7" t="n">
        <v>90.77</v>
      </c>
      <c r="H47" s="6" t="inlineStr">
        <is>
          <t>Stated amount</t>
        </is>
      </c>
      <c r="I47" s="12" t="inlineStr">
        <is>
          <t>FIXED</t>
        </is>
      </c>
      <c r="J47" s="6" t="inlineStr">
        <is>
          <t>no</t>
        </is>
      </c>
      <c r="K47" s="6" t="inlineStr">
        <is>
          <t>20.00 - 447.12</t>
        </is>
      </c>
    </row>
    <row r="48">
      <c r="A48" s="5" t="n">
        <v>46504</v>
      </c>
      <c r="B48" s="6" t="inlineStr">
        <is>
          <t>Tue</t>
        </is>
      </c>
      <c r="C48" s="6" t="inlineStr">
        <is>
          <t>Barclay Old Navy</t>
        </is>
      </c>
      <c r="D48" s="6" t="inlineStr">
        <is>
          <t>3 Required debt</t>
        </is>
      </c>
      <c r="E48" s="6" t="inlineStr">
        <is>
          <t>monthly</t>
        </is>
      </c>
      <c r="F48" s="11" t="n">
        <v>84.78</v>
      </c>
      <c r="G48" s="7" t="n">
        <v>60.74</v>
      </c>
      <c r="H48" s="13" t="inlineStr">
        <is>
          <t>Forecast at worst seen</t>
        </is>
      </c>
      <c r="I48" s="6" t="inlineStr">
        <is>
          <t>UNKNOWN</t>
        </is>
      </c>
      <c r="J48" s="6" t="inlineStr">
        <is>
          <t>yes</t>
        </is>
      </c>
      <c r="K48" s="6" t="inlineStr">
        <is>
          <t>52.98 - 84.78</t>
        </is>
      </c>
    </row>
    <row r="49">
      <c r="A49" s="5" t="n">
        <v>46506</v>
      </c>
      <c r="B49" s="6" t="inlineStr">
        <is>
          <t>Thu</t>
        </is>
      </c>
      <c r="C49" s="6" t="inlineStr">
        <is>
          <t>Xfinity Mobile</t>
        </is>
      </c>
      <c r="D49" s="6" t="inlineStr">
        <is>
          <t>2 Essential</t>
        </is>
      </c>
      <c r="E49" s="6" t="inlineStr">
        <is>
          <t>monthly</t>
        </is>
      </c>
      <c r="F49" s="11" t="n">
        <v>88.81999999999999</v>
      </c>
      <c r="G49" s="7" t="n">
        <v>88.81999999999999</v>
      </c>
      <c r="H49" s="6" t="inlineStr">
        <is>
          <t>Stated amount</t>
        </is>
      </c>
      <c r="I49" s="6" t="inlineStr">
        <is>
          <t>UNKNOWN</t>
        </is>
      </c>
      <c r="J49" s="6" t="inlineStr">
        <is>
          <t>yes</t>
        </is>
      </c>
      <c r="K49" s="6" t="inlineStr"/>
    </row>
    <row r="50">
      <c r="A50" s="5" t="n">
        <v>46506</v>
      </c>
      <c r="B50" s="6" t="inlineStr">
        <is>
          <t>Thu</t>
        </is>
      </c>
      <c r="C50" s="6" t="inlineStr">
        <is>
          <t>Affirm</t>
        </is>
      </c>
      <c r="D50" s="6" t="inlineStr">
        <is>
          <t>3 Required debt</t>
        </is>
      </c>
      <c r="E50" s="6" t="inlineStr">
        <is>
          <t>monthly</t>
        </is>
      </c>
      <c r="F50" s="11" t="n">
        <v>73.06999999999999</v>
      </c>
      <c r="G50" s="7" t="n">
        <v>73.06999999999999</v>
      </c>
      <c r="H50" s="6" t="inlineStr">
        <is>
          <t>Stated amount</t>
        </is>
      </c>
      <c r="I50" s="6" t="inlineStr">
        <is>
          <t>UNKNOWN</t>
        </is>
      </c>
      <c r="J50" s="6" t="inlineStr">
        <is>
          <t>yes</t>
        </is>
      </c>
      <c r="K50" s="6" t="inlineStr"/>
    </row>
    <row r="51">
      <c r="A51" s="8" t="n"/>
      <c r="B51" s="8" t="n"/>
      <c r="C51" s="9" t="inlineStr">
        <is>
          <t>Total money out</t>
        </is>
      </c>
      <c r="D51" s="8" t="n"/>
      <c r="E51" s="8" t="n"/>
      <c r="F51" s="10">
        <f>SUM(F14:F50)</f>
        <v/>
      </c>
      <c r="G51" s="10">
        <f>SUM(G14:G50)</f>
        <v/>
      </c>
      <c r="H51" s="8" t="n"/>
      <c r="I51" s="8" t="n"/>
      <c r="J51" s="8" t="n"/>
      <c r="K51" s="8" t="n"/>
    </row>
    <row r="53">
      <c r="A53" s="3" t="inlineStr">
        <is>
          <t>MONTH SUMMARY</t>
        </is>
      </c>
    </row>
    <row r="54">
      <c r="C54" s="6" t="inlineStr">
        <is>
          <t>Money in</t>
        </is>
      </c>
      <c r="D54" s="15" t="n"/>
      <c r="E54" s="15" t="n"/>
      <c r="F54" s="16">
        <f>E10</f>
        <v/>
      </c>
    </row>
    <row r="55">
      <c r="C55" s="6" t="inlineStr">
        <is>
          <t>Money out (budget)</t>
        </is>
      </c>
      <c r="D55" s="15" t="n"/>
      <c r="E55" s="15" t="n"/>
      <c r="F55" s="16">
        <f>F51</f>
        <v/>
      </c>
    </row>
    <row r="56">
      <c r="C56" s="9" t="inlineStr">
        <is>
          <t>Net for the month</t>
        </is>
      </c>
      <c r="D56" s="8" t="n"/>
      <c r="E56" s="8" t="n"/>
      <c r="F56" s="10">
        <f>E10-F51</f>
        <v/>
      </c>
    </row>
    <row r="57">
      <c r="C57" s="6" t="inlineStr">
        <is>
          <t>Money out at stored amounts</t>
        </is>
      </c>
      <c r="D57" s="15" t="n"/>
      <c r="E57" s="15" t="n"/>
      <c r="F57" s="16">
        <f>G51</f>
        <v/>
      </c>
    </row>
    <row r="58">
      <c r="C58" s="6" t="inlineStr">
        <is>
          <t>Over-forecast vs stored</t>
        </is>
      </c>
      <c r="D58" s="15" t="n"/>
      <c r="E58" s="15" t="n"/>
      <c r="F58" s="16">
        <f>F51-G51</f>
        <v/>
      </c>
    </row>
    <row r="60">
      <c r="A60" s="3" t="inlineStr">
        <is>
          <t>NOTES AND ASSUMPTIONS</t>
        </is>
      </c>
    </row>
    <row r="61">
      <c r="A61" s="17" t="inlineStr">
        <is>
          <t>- INCOME SWITCHED OFF: Branchburg BOE payroll (2,829.31 biweekly) is recorded in income.json but NOT counted anywhere in this workbook. If it is actually being received, every monthly net figure here is understated by that amount.</t>
        </is>
      </c>
    </row>
    <row r="62">
      <c r="A62" s="17" t="inlineStr">
        <is>
          <t>- Budget vs Stored: 'Budget' is what the engine forecasts for that date; 'Stored' is the figure recorded in bills.json.</t>
        </is>
      </c>
    </row>
    <row r="63">
      <c r="A63" s="17" t="inlineStr">
        <is>
          <t>- Seasonal profile: gas and electric carry a month-of-year profile built from recent years of statements, so their budget figure changes every month. Neither figure is wrong.</t>
        </is>
      </c>
    </row>
    <row r="64">
      <c r="A64" s="17" t="inlineStr">
        <is>
          <t>- Forecast at worst seen: a variable bill landing monthly or less often is budgeted at the top of its observed range, deliberately, because under-forecasting an outflow is what causes an overdraft.</t>
        </is>
      </c>
    </row>
    <row r="65">
      <c r="A65" s="17" t="inlineStr">
        <is>
          <t>- SUPERSEDED: the engine is forecasting ABOVE an amount the household renegotiated, because the observed maximum predates the correction. Affects four cards and the water bill. This is a defect, not a rule - the Stored column is the agreed figure.</t>
        </is>
      </c>
    </row>
    <row r="66">
      <c r="A66" s="17" t="inlineStr">
        <is>
          <t>- Movability: FIXED means secured or recorded as non-deferrable. UNKNOWN means nothing records how late the payment may safely be, so no date change can be recommended without confirming it.</t>
        </is>
      </c>
    </row>
    <row r="67">
      <c r="A67" s="17" t="inlineStr">
        <is>
          <t>- Weekly items (groceries, fuel) appear once per occurrence, so a five-week month legitimately shows five rows.</t>
        </is>
      </c>
    </row>
    <row r="68">
      <c r="A68" s="17" t="inlineStr">
        <is>
          <t>- Excluded as ended or paid off, kept for history: Affirm large, Trilogy Lacrosse.</t>
        </is>
      </c>
    </row>
  </sheetData>
  <mergeCells count="10">
    <mergeCell ref="A61:K61"/>
    <mergeCell ref="A62:K62"/>
    <mergeCell ref="A64:K64"/>
    <mergeCell ref="A65:K65"/>
    <mergeCell ref="A2:K2"/>
    <mergeCell ref="A63:K63"/>
    <mergeCell ref="A68:K68"/>
    <mergeCell ref="A66:K66"/>
    <mergeCell ref="A1:K1"/>
    <mergeCell ref="A67:K67"/>
  </mergeCell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1:K72"/>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May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46512</v>
      </c>
      <c r="B6" s="6" t="inlineStr">
        <is>
          <t>Wed</t>
        </is>
      </c>
      <c r="C6" s="6" t="inlineStr">
        <is>
          <t>Insight Global payroll</t>
        </is>
      </c>
      <c r="D6" s="6" t="inlineStr">
        <is>
          <t>weekly</t>
        </is>
      </c>
      <c r="E6" s="7" t="n">
        <v>2016.06</v>
      </c>
      <c r="F6" s="6" t="inlineStr">
        <is>
          <t>UNVERIFIED - flagged needs_review</t>
        </is>
      </c>
    </row>
    <row r="7">
      <c r="A7" s="5" t="n">
        <v>46519</v>
      </c>
      <c r="B7" s="6" t="inlineStr">
        <is>
          <t>Wed</t>
        </is>
      </c>
      <c r="C7" s="6" t="inlineStr">
        <is>
          <t>Insight Global payroll</t>
        </is>
      </c>
      <c r="D7" s="6" t="inlineStr">
        <is>
          <t>weekly</t>
        </is>
      </c>
      <c r="E7" s="7" t="n">
        <v>2016.06</v>
      </c>
      <c r="F7" s="6" t="inlineStr">
        <is>
          <t>UNVERIFIED - flagged needs_review</t>
        </is>
      </c>
    </row>
    <row r="8">
      <c r="A8" s="5" t="n">
        <v>46526</v>
      </c>
      <c r="B8" s="6" t="inlineStr">
        <is>
          <t>Wed</t>
        </is>
      </c>
      <c r="C8" s="6" t="inlineStr">
        <is>
          <t>Insight Global payroll</t>
        </is>
      </c>
      <c r="D8" s="6" t="inlineStr">
        <is>
          <t>weekly</t>
        </is>
      </c>
      <c r="E8" s="7" t="n">
        <v>2016.06</v>
      </c>
      <c r="F8" s="6" t="inlineStr">
        <is>
          <t>UNVERIFIED - flagged needs_review</t>
        </is>
      </c>
    </row>
    <row r="9">
      <c r="A9" s="5" t="n">
        <v>46533</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46509</v>
      </c>
      <c r="B14" s="6" t="inlineStr">
        <is>
          <t>Sun</t>
        </is>
      </c>
      <c r="C14" s="6" t="inlineStr">
        <is>
          <t>Groceries</t>
        </is>
      </c>
      <c r="D14" s="6" t="inlineStr">
        <is>
          <t>2 Essential</t>
        </is>
      </c>
      <c r="E14" s="6" t="inlineStr">
        <is>
          <t>weekly</t>
        </is>
      </c>
      <c r="F14" s="11" t="n">
        <v>319.09</v>
      </c>
      <c r="G14" s="7" t="n">
        <v>319.09</v>
      </c>
      <c r="H14" s="6" t="inlineStr">
        <is>
          <t>Stated amount</t>
        </is>
      </c>
      <c r="I14" s="12" t="inlineStr">
        <is>
          <t>FIXED</t>
        </is>
      </c>
      <c r="J14" s="6" t="inlineStr">
        <is>
          <t>no</t>
        </is>
      </c>
      <c r="K14" s="6" t="inlineStr">
        <is>
          <t>12.78 - 791.32</t>
        </is>
      </c>
    </row>
    <row r="15">
      <c r="A15" s="5" t="n">
        <v>46509</v>
      </c>
      <c r="B15" s="6" t="inlineStr">
        <is>
          <t>Sun</t>
        </is>
      </c>
      <c r="C15" s="6" t="inlineStr">
        <is>
          <t>Fuel</t>
        </is>
      </c>
      <c r="D15" s="6" t="inlineStr">
        <is>
          <t>2 Essential</t>
        </is>
      </c>
      <c r="E15" s="6" t="inlineStr">
        <is>
          <t>weekly</t>
        </is>
      </c>
      <c r="F15" s="11" t="n">
        <v>90.77</v>
      </c>
      <c r="G15" s="7" t="n">
        <v>90.77</v>
      </c>
      <c r="H15" s="6" t="inlineStr">
        <is>
          <t>Stated amount</t>
        </is>
      </c>
      <c r="I15" s="12" t="inlineStr">
        <is>
          <t>FIXED</t>
        </is>
      </c>
      <c r="J15" s="6" t="inlineStr">
        <is>
          <t>no</t>
        </is>
      </c>
      <c r="K15" s="6" t="inlineStr">
        <is>
          <t>20.00 - 447.12</t>
        </is>
      </c>
    </row>
    <row r="16">
      <c r="A16" s="5" t="n">
        <v>46510</v>
      </c>
      <c r="B16" s="6" t="inlineStr">
        <is>
          <t>Mon</t>
        </is>
      </c>
      <c r="C16" s="6" t="inlineStr">
        <is>
          <t>Mortgage</t>
        </is>
      </c>
      <c r="D16" s="6" t="inlineStr">
        <is>
          <t>1 Secured/critical</t>
        </is>
      </c>
      <c r="E16" s="6" t="inlineStr">
        <is>
          <t>biweekly</t>
        </is>
      </c>
      <c r="F16" s="11" t="n">
        <v>1801.62</v>
      </c>
      <c r="G16" s="7" t="n">
        <v>1801.62</v>
      </c>
      <c r="H16" s="6" t="inlineStr">
        <is>
          <t>Stated amount</t>
        </is>
      </c>
      <c r="I16" s="12" t="inlineStr">
        <is>
          <t>FIXED</t>
        </is>
      </c>
      <c r="J16" s="6" t="inlineStr">
        <is>
          <t>no</t>
        </is>
      </c>
      <c r="K16" s="6" t="inlineStr"/>
    </row>
    <row r="17">
      <c r="A17" s="5" t="n">
        <v>46510</v>
      </c>
      <c r="B17" s="6" t="inlineStr">
        <is>
          <t>Mon</t>
        </is>
      </c>
      <c r="C17" s="6" t="inlineStr">
        <is>
          <t>JCP&amp;L / FirstEnergy</t>
        </is>
      </c>
      <c r="D17" s="6" t="inlineStr">
        <is>
          <t>2 Essential</t>
        </is>
      </c>
      <c r="E17" s="6" t="inlineStr">
        <is>
          <t>monthly</t>
        </is>
      </c>
      <c r="F17" s="11" t="n">
        <v>145.85</v>
      </c>
      <c r="G17" s="7" t="n">
        <v>418.98</v>
      </c>
      <c r="H17" s="6" t="inlineStr">
        <is>
          <t>Seasonal profile</t>
        </is>
      </c>
      <c r="I17" s="12" t="inlineStr">
        <is>
          <t>FIXED</t>
        </is>
      </c>
      <c r="J17" s="6" t="inlineStr">
        <is>
          <t>no</t>
        </is>
      </c>
      <c r="K17" s="6" t="inlineStr">
        <is>
          <t>130.28 - 489.87</t>
        </is>
      </c>
    </row>
    <row r="18">
      <c r="A18" s="5" t="n">
        <v>46511</v>
      </c>
      <c r="B18" s="6" t="inlineStr">
        <is>
          <t>Tue</t>
        </is>
      </c>
      <c r="C18" s="6" t="inlineStr">
        <is>
          <t>Culligan</t>
        </is>
      </c>
      <c r="D18" s="6" t="inlineStr">
        <is>
          <t>5 Discretionary</t>
        </is>
      </c>
      <c r="E18" s="6" t="inlineStr">
        <is>
          <t>monthly</t>
        </is>
      </c>
      <c r="F18" s="11" t="n">
        <v>307.7</v>
      </c>
      <c r="G18" s="7" t="n">
        <v>40.39</v>
      </c>
      <c r="H18" s="13" t="inlineStr">
        <is>
          <t>Forecast at worst seen</t>
        </is>
      </c>
      <c r="I18" s="6" t="inlineStr">
        <is>
          <t>UNKNOWN</t>
        </is>
      </c>
      <c r="J18" s="6" t="inlineStr">
        <is>
          <t>no</t>
        </is>
      </c>
      <c r="K18" s="6" t="inlineStr">
        <is>
          <t>40.39 - 307.70</t>
        </is>
      </c>
    </row>
    <row r="19">
      <c r="A19" s="5" t="n">
        <v>46511</v>
      </c>
      <c r="B19" s="6" t="inlineStr">
        <is>
          <t>Tue</t>
        </is>
      </c>
      <c r="C19" s="6" t="inlineStr">
        <is>
          <t>TJX Rewards</t>
        </is>
      </c>
      <c r="D19" s="6" t="inlineStr">
        <is>
          <t>5 Discretionary</t>
        </is>
      </c>
      <c r="E19" s="6" t="inlineStr">
        <is>
          <t>monthly</t>
        </is>
      </c>
      <c r="F19" s="11" t="n">
        <v>36</v>
      </c>
      <c r="G19" s="7" t="n">
        <v>36</v>
      </c>
      <c r="H19" s="6" t="inlineStr">
        <is>
          <t>Stated amount</t>
        </is>
      </c>
      <c r="I19" s="6" t="inlineStr">
        <is>
          <t>UNKNOWN</t>
        </is>
      </c>
      <c r="J19" s="6" t="inlineStr">
        <is>
          <t>yes</t>
        </is>
      </c>
      <c r="K19" s="6" t="inlineStr"/>
    </row>
    <row r="20">
      <c r="A20" s="5" t="n">
        <v>46513</v>
      </c>
      <c r="B20" s="6" t="inlineStr">
        <is>
          <t>Thu</t>
        </is>
      </c>
      <c r="C20" s="6" t="inlineStr">
        <is>
          <t>One Main loan</t>
        </is>
      </c>
      <c r="D20" s="6" t="inlineStr">
        <is>
          <t>3 Required debt</t>
        </is>
      </c>
      <c r="E20" s="6" t="inlineStr">
        <is>
          <t>monthly</t>
        </is>
      </c>
      <c r="F20" s="11" t="n">
        <v>388.24</v>
      </c>
      <c r="G20" s="7" t="n">
        <v>388.24</v>
      </c>
      <c r="H20" s="6" t="inlineStr">
        <is>
          <t>Stated amount</t>
        </is>
      </c>
      <c r="I20" s="12" t="inlineStr">
        <is>
          <t>FIXED</t>
        </is>
      </c>
      <c r="J20" s="6" t="inlineStr">
        <is>
          <t>yes</t>
        </is>
      </c>
      <c r="K20" s="6" t="inlineStr"/>
    </row>
    <row r="21">
      <c r="A21" s="5" t="n">
        <v>46515</v>
      </c>
      <c r="B21" s="6" t="inlineStr">
        <is>
          <t>Sat</t>
        </is>
      </c>
      <c r="C21" s="6" t="inlineStr">
        <is>
          <t>PNC</t>
        </is>
      </c>
      <c r="D21" s="6" t="inlineStr">
        <is>
          <t>3 Required debt</t>
        </is>
      </c>
      <c r="E21" s="6" t="inlineStr">
        <is>
          <t>monthly</t>
        </is>
      </c>
      <c r="F21" s="11" t="n">
        <v>150</v>
      </c>
      <c r="G21" s="7" t="n">
        <v>70</v>
      </c>
      <c r="H21" s="13" t="inlineStr">
        <is>
          <t>Forecast at worst seen</t>
        </is>
      </c>
      <c r="I21" s="6" t="inlineStr">
        <is>
          <t>UNKNOWN</t>
        </is>
      </c>
      <c r="J21" s="6" t="inlineStr">
        <is>
          <t>no</t>
        </is>
      </c>
      <c r="K21" s="6" t="inlineStr">
        <is>
          <t>70.00 - 150.00</t>
        </is>
      </c>
    </row>
    <row r="22">
      <c r="A22" s="5" t="n">
        <v>46516</v>
      </c>
      <c r="B22" s="6" t="inlineStr">
        <is>
          <t>Sun</t>
        </is>
      </c>
      <c r="C22" s="6" t="inlineStr">
        <is>
          <t>Groceries</t>
        </is>
      </c>
      <c r="D22" s="6" t="inlineStr">
        <is>
          <t>2 Essential</t>
        </is>
      </c>
      <c r="E22" s="6" t="inlineStr">
        <is>
          <t>weekly</t>
        </is>
      </c>
      <c r="F22" s="11" t="n">
        <v>319.09</v>
      </c>
      <c r="G22" s="7" t="n">
        <v>319.09</v>
      </c>
      <c r="H22" s="6" t="inlineStr">
        <is>
          <t>Stated amount</t>
        </is>
      </c>
      <c r="I22" s="12" t="inlineStr">
        <is>
          <t>FIXED</t>
        </is>
      </c>
      <c r="J22" s="6" t="inlineStr">
        <is>
          <t>no</t>
        </is>
      </c>
      <c r="K22" s="6" t="inlineStr">
        <is>
          <t>12.78 - 791.32</t>
        </is>
      </c>
    </row>
    <row r="23">
      <c r="A23" s="5" t="n">
        <v>46516</v>
      </c>
      <c r="B23" s="6" t="inlineStr">
        <is>
          <t>Sun</t>
        </is>
      </c>
      <c r="C23" s="6" t="inlineStr">
        <is>
          <t>Fuel</t>
        </is>
      </c>
      <c r="D23" s="6" t="inlineStr">
        <is>
          <t>2 Essential</t>
        </is>
      </c>
      <c r="E23" s="6" t="inlineStr">
        <is>
          <t>weekly</t>
        </is>
      </c>
      <c r="F23" s="11" t="n">
        <v>90.77</v>
      </c>
      <c r="G23" s="7" t="n">
        <v>90.77</v>
      </c>
      <c r="H23" s="6" t="inlineStr">
        <is>
          <t>Stated amount</t>
        </is>
      </c>
      <c r="I23" s="12" t="inlineStr">
        <is>
          <t>FIXED</t>
        </is>
      </c>
      <c r="J23" s="6" t="inlineStr">
        <is>
          <t>no</t>
        </is>
      </c>
      <c r="K23" s="6" t="inlineStr">
        <is>
          <t>20.00 - 447.12</t>
        </is>
      </c>
    </row>
    <row r="24">
      <c r="A24" s="5" t="n">
        <v>46518</v>
      </c>
      <c r="B24" s="6" t="inlineStr">
        <is>
          <t>Tue</t>
        </is>
      </c>
      <c r="C24" s="6" t="inlineStr">
        <is>
          <t>Elizabethtown Gas</t>
        </is>
      </c>
      <c r="D24" s="6" t="inlineStr">
        <is>
          <t>2 Essential</t>
        </is>
      </c>
      <c r="E24" s="6" t="inlineStr">
        <is>
          <t>monthly</t>
        </is>
      </c>
      <c r="F24" s="11" t="n">
        <v>220.95</v>
      </c>
      <c r="G24" s="7" t="n">
        <v>54.03</v>
      </c>
      <c r="H24" s="6" t="inlineStr">
        <is>
          <t>Seasonal profile</t>
        </is>
      </c>
      <c r="I24" s="12" t="inlineStr">
        <is>
          <t>FIXED</t>
        </is>
      </c>
      <c r="J24" s="6" t="inlineStr">
        <is>
          <t>no</t>
        </is>
      </c>
      <c r="K24" s="6" t="inlineStr">
        <is>
          <t>54.03 - 550.83</t>
        </is>
      </c>
    </row>
    <row r="25">
      <c r="A25" s="5" t="n">
        <v>46518</v>
      </c>
      <c r="B25" s="6" t="inlineStr">
        <is>
          <t>Tue</t>
        </is>
      </c>
      <c r="C25" s="6" t="inlineStr">
        <is>
          <t>T-Mobile Lia</t>
        </is>
      </c>
      <c r="D25" s="6" t="inlineStr">
        <is>
          <t>2 Essential</t>
        </is>
      </c>
      <c r="E25" s="6" t="inlineStr">
        <is>
          <t>monthly</t>
        </is>
      </c>
      <c r="F25" s="11" t="n">
        <v>20.75</v>
      </c>
      <c r="G25" s="7" t="n">
        <v>20.75</v>
      </c>
      <c r="H25" s="6" t="inlineStr">
        <is>
          <t>Stated amount</t>
        </is>
      </c>
      <c r="I25" s="6" t="inlineStr">
        <is>
          <t>UNKNOWN</t>
        </is>
      </c>
      <c r="J25" s="6" t="inlineStr">
        <is>
          <t>yes</t>
        </is>
      </c>
      <c r="K25" s="6" t="inlineStr"/>
    </row>
    <row r="26">
      <c r="A26" s="5" t="n">
        <v>46519</v>
      </c>
      <c r="B26" s="6" t="inlineStr">
        <is>
          <t>Wed</t>
        </is>
      </c>
      <c r="C26" s="6" t="inlineStr">
        <is>
          <t>Hanover Auto</t>
        </is>
      </c>
      <c r="D26" s="6" t="inlineStr">
        <is>
          <t>2 Essential</t>
        </is>
      </c>
      <c r="E26" s="6" t="inlineStr">
        <is>
          <t>monthly</t>
        </is>
      </c>
      <c r="F26" s="11" t="n">
        <v>513.27</v>
      </c>
      <c r="G26" s="7" t="n">
        <v>513.27</v>
      </c>
      <c r="H26" s="6" t="inlineStr">
        <is>
          <t>Stated amount</t>
        </is>
      </c>
      <c r="I26" s="12" t="inlineStr">
        <is>
          <t>FIXED</t>
        </is>
      </c>
      <c r="J26" s="6" t="inlineStr">
        <is>
          <t>no</t>
        </is>
      </c>
      <c r="K26" s="6" t="inlineStr"/>
    </row>
    <row r="27">
      <c r="A27" s="5" t="n">
        <v>46519</v>
      </c>
      <c r="B27" s="6" t="inlineStr">
        <is>
          <t>Wed</t>
        </is>
      </c>
      <c r="C27" s="6" t="inlineStr">
        <is>
          <t>Comenity</t>
        </is>
      </c>
      <c r="D27" s="6" t="inlineStr">
        <is>
          <t>3 Required debt</t>
        </is>
      </c>
      <c r="E27" s="6" t="inlineStr">
        <is>
          <t>monthly</t>
        </is>
      </c>
      <c r="F27" s="11" t="n">
        <v>65</v>
      </c>
      <c r="G27" s="7" t="n">
        <v>50</v>
      </c>
      <c r="H27" s="13" t="inlineStr">
        <is>
          <t>Forecast at worst seen</t>
        </is>
      </c>
      <c r="I27" s="6" t="inlineStr">
        <is>
          <t>UNKNOWN</t>
        </is>
      </c>
      <c r="J27" s="6" t="inlineStr">
        <is>
          <t>no</t>
        </is>
      </c>
      <c r="K27" s="6" t="inlineStr">
        <is>
          <t>40.00 - 65.00</t>
        </is>
      </c>
    </row>
    <row r="28">
      <c r="A28" s="5" t="n">
        <v>46521</v>
      </c>
      <c r="B28" s="6" t="inlineStr">
        <is>
          <t>Fri</t>
        </is>
      </c>
      <c r="C28" s="6" t="inlineStr">
        <is>
          <t>Home Depot</t>
        </is>
      </c>
      <c r="D28" s="6" t="inlineStr">
        <is>
          <t>5 Discretionary</t>
        </is>
      </c>
      <c r="E28" s="6" t="inlineStr">
        <is>
          <t>monthly</t>
        </is>
      </c>
      <c r="F28" s="11" t="n">
        <v>100</v>
      </c>
      <c r="G28" s="7" t="n">
        <v>100</v>
      </c>
      <c r="H28" s="6" t="inlineStr">
        <is>
          <t>Stated amount</t>
        </is>
      </c>
      <c r="I28" s="6" t="inlineStr">
        <is>
          <t>UNKNOWN</t>
        </is>
      </c>
      <c r="J28" s="6" t="inlineStr">
        <is>
          <t>yes</t>
        </is>
      </c>
      <c r="K28" s="6" t="inlineStr">
        <is>
          <t>32.70 - 100.00</t>
        </is>
      </c>
    </row>
    <row r="29">
      <c r="A29" s="5" t="n">
        <v>46522</v>
      </c>
      <c r="B29" s="6" t="inlineStr">
        <is>
          <t>Sat</t>
        </is>
      </c>
      <c r="C29" s="6" t="inlineStr">
        <is>
          <t>Loew &amp; Patel braces</t>
        </is>
      </c>
      <c r="D29" s="6" t="inlineStr">
        <is>
          <t>4 Scheduled</t>
        </is>
      </c>
      <c r="E29" s="6" t="inlineStr">
        <is>
          <t>monthly</t>
        </is>
      </c>
      <c r="F29" s="11" t="n">
        <v>400</v>
      </c>
      <c r="G29" s="7" t="n">
        <v>400</v>
      </c>
      <c r="H29" s="6" t="inlineStr">
        <is>
          <t>Stated amount</t>
        </is>
      </c>
      <c r="I29" s="6" t="inlineStr">
        <is>
          <t>UNKNOWN</t>
        </is>
      </c>
      <c r="J29" s="6" t="inlineStr">
        <is>
          <t>no</t>
        </is>
      </c>
      <c r="K29" s="6" t="inlineStr">
        <is>
          <t>15.00 - 0.00</t>
        </is>
      </c>
    </row>
    <row r="30">
      <c r="A30" s="5" t="n">
        <v>46522</v>
      </c>
      <c r="B30" s="6" t="inlineStr">
        <is>
          <t>Sat</t>
        </is>
      </c>
      <c r="C30" s="6" t="inlineStr">
        <is>
          <t>Upstart debt consol</t>
        </is>
      </c>
      <c r="D30" s="6" t="inlineStr">
        <is>
          <t>3 Required debt</t>
        </is>
      </c>
      <c r="E30" s="6" t="inlineStr">
        <is>
          <t>monthly</t>
        </is>
      </c>
      <c r="F30" s="11" t="n">
        <v>161</v>
      </c>
      <c r="G30" s="7" t="n">
        <v>161</v>
      </c>
      <c r="H30" s="6" t="inlineStr">
        <is>
          <t>Stated amount</t>
        </is>
      </c>
      <c r="I30" s="12" t="inlineStr">
        <is>
          <t>FIXED</t>
        </is>
      </c>
      <c r="J30" s="6" t="inlineStr">
        <is>
          <t>yes</t>
        </is>
      </c>
      <c r="K30" s="6" t="inlineStr"/>
    </row>
    <row r="31">
      <c r="A31" s="5" t="n">
        <v>46523</v>
      </c>
      <c r="B31" s="6" t="inlineStr">
        <is>
          <t>Sun</t>
        </is>
      </c>
      <c r="C31" s="6" t="inlineStr">
        <is>
          <t>Groceries</t>
        </is>
      </c>
      <c r="D31" s="6" t="inlineStr">
        <is>
          <t>2 Essential</t>
        </is>
      </c>
      <c r="E31" s="6" t="inlineStr">
        <is>
          <t>weekly</t>
        </is>
      </c>
      <c r="F31" s="11" t="n">
        <v>319.09</v>
      </c>
      <c r="G31" s="7" t="n">
        <v>319.09</v>
      </c>
      <c r="H31" s="6" t="inlineStr">
        <is>
          <t>Stated amount</t>
        </is>
      </c>
      <c r="I31" s="12" t="inlineStr">
        <is>
          <t>FIXED</t>
        </is>
      </c>
      <c r="J31" s="6" t="inlineStr">
        <is>
          <t>no</t>
        </is>
      </c>
      <c r="K31" s="6" t="inlineStr">
        <is>
          <t>12.78 - 791.32</t>
        </is>
      </c>
    </row>
    <row r="32">
      <c r="A32" s="5" t="n">
        <v>46523</v>
      </c>
      <c r="B32" s="6" t="inlineStr">
        <is>
          <t>Sun</t>
        </is>
      </c>
      <c r="C32" s="6" t="inlineStr">
        <is>
          <t>Fuel</t>
        </is>
      </c>
      <c r="D32" s="6" t="inlineStr">
        <is>
          <t>2 Essential</t>
        </is>
      </c>
      <c r="E32" s="6" t="inlineStr">
        <is>
          <t>weekly</t>
        </is>
      </c>
      <c r="F32" s="11" t="n">
        <v>90.77</v>
      </c>
      <c r="G32" s="7" t="n">
        <v>90.77</v>
      </c>
      <c r="H32" s="6" t="inlineStr">
        <is>
          <t>Stated amount</t>
        </is>
      </c>
      <c r="I32" s="12" t="inlineStr">
        <is>
          <t>FIXED</t>
        </is>
      </c>
      <c r="J32" s="6" t="inlineStr">
        <is>
          <t>no</t>
        </is>
      </c>
      <c r="K32" s="6" t="inlineStr">
        <is>
          <t>20.00 - 447.12</t>
        </is>
      </c>
    </row>
    <row r="33">
      <c r="A33" s="5" t="n">
        <v>46524</v>
      </c>
      <c r="B33" s="6" t="inlineStr">
        <is>
          <t>Mon</t>
        </is>
      </c>
      <c r="C33" s="6" t="inlineStr">
        <is>
          <t>Mortgage</t>
        </is>
      </c>
      <c r="D33" s="6" t="inlineStr">
        <is>
          <t>1 Secured/critical</t>
        </is>
      </c>
      <c r="E33" s="6" t="inlineStr">
        <is>
          <t>biweekly</t>
        </is>
      </c>
      <c r="F33" s="11" t="n">
        <v>1801.62</v>
      </c>
      <c r="G33" s="7" t="n">
        <v>1801.62</v>
      </c>
      <c r="H33" s="6" t="inlineStr">
        <is>
          <t>Stated amount</t>
        </is>
      </c>
      <c r="I33" s="12" t="inlineStr">
        <is>
          <t>FIXED</t>
        </is>
      </c>
      <c r="J33" s="6" t="inlineStr">
        <is>
          <t>no</t>
        </is>
      </c>
      <c r="K33" s="6" t="inlineStr"/>
    </row>
    <row r="34">
      <c r="A34" s="5" t="n">
        <v>46524</v>
      </c>
      <c r="B34" s="6" t="inlineStr">
        <is>
          <t>Mon</t>
        </is>
      </c>
      <c r="C34" s="6" t="inlineStr">
        <is>
          <t>Capital One CC</t>
        </is>
      </c>
      <c r="D34" s="6" t="inlineStr">
        <is>
          <t>3 Required debt</t>
        </is>
      </c>
      <c r="E34" s="6" t="inlineStr">
        <is>
          <t>monthly</t>
        </is>
      </c>
      <c r="F34" s="11" t="n">
        <v>163</v>
      </c>
      <c r="G34" s="7" t="n">
        <v>105</v>
      </c>
      <c r="H34" s="14" t="inlineStr">
        <is>
          <t>SUPERSEDED - see notes</t>
        </is>
      </c>
      <c r="I34" s="6" t="inlineStr">
        <is>
          <t>UNKNOWN</t>
        </is>
      </c>
      <c r="J34" s="6" t="inlineStr">
        <is>
          <t>yes</t>
        </is>
      </c>
      <c r="K34" s="6" t="inlineStr">
        <is>
          <t>154.00 - 163.00</t>
        </is>
      </c>
    </row>
    <row r="35">
      <c r="A35" s="5" t="n">
        <v>46524</v>
      </c>
      <c r="B35" s="6" t="inlineStr">
        <is>
          <t>Mon</t>
        </is>
      </c>
      <c r="C35" s="6" t="inlineStr">
        <is>
          <t>Chase CC Amazon</t>
        </is>
      </c>
      <c r="D35" s="6" t="inlineStr">
        <is>
          <t>3 Required debt</t>
        </is>
      </c>
      <c r="E35" s="6" t="inlineStr">
        <is>
          <t>monthly</t>
        </is>
      </c>
      <c r="F35" s="11" t="n">
        <v>136</v>
      </c>
      <c r="G35" s="7" t="n">
        <v>80</v>
      </c>
      <c r="H35" s="14" t="inlineStr">
        <is>
          <t>SUPERSEDED - see notes</t>
        </is>
      </c>
      <c r="I35" s="6" t="inlineStr">
        <is>
          <t>UNKNOWN</t>
        </is>
      </c>
      <c r="J35" s="6" t="inlineStr">
        <is>
          <t>yes</t>
        </is>
      </c>
      <c r="K35" s="6" t="inlineStr">
        <is>
          <t>124.00 - 136.00</t>
        </is>
      </c>
    </row>
    <row r="36">
      <c r="A36" s="5" t="n">
        <v>46525</v>
      </c>
      <c r="B36" s="6" t="inlineStr">
        <is>
          <t>Tue</t>
        </is>
      </c>
      <c r="C36" s="6" t="inlineStr">
        <is>
          <t>NJ Total Select 4of4</t>
        </is>
      </c>
      <c r="D36" s="6" t="inlineStr">
        <is>
          <t>4 Scheduled</t>
        </is>
      </c>
      <c r="E36" s="6" t="inlineStr">
        <is>
          <t>once</t>
        </is>
      </c>
      <c r="F36" s="11" t="n">
        <v>517.5</v>
      </c>
      <c r="G36" s="7" t="n">
        <v>517.5</v>
      </c>
      <c r="H36" s="6" t="inlineStr">
        <is>
          <t>Stated amount</t>
        </is>
      </c>
      <c r="I36" s="6" t="inlineStr">
        <is>
          <t>UNKNOWN</t>
        </is>
      </c>
      <c r="J36" s="6" t="inlineStr">
        <is>
          <t>no</t>
        </is>
      </c>
      <c r="K36" s="6" t="inlineStr"/>
    </row>
    <row r="37">
      <c r="A37" s="5" t="n">
        <v>46525</v>
      </c>
      <c r="B37" s="6" t="inlineStr">
        <is>
          <t>Tue</t>
        </is>
      </c>
      <c r="C37" s="6" t="inlineStr">
        <is>
          <t>CCU car loan</t>
        </is>
      </c>
      <c r="D37" s="6" t="inlineStr">
        <is>
          <t>1 Secured/critical</t>
        </is>
      </c>
      <c r="E37" s="6" t="inlineStr">
        <is>
          <t>monthly</t>
        </is>
      </c>
      <c r="F37" s="11" t="n">
        <v>306.9</v>
      </c>
      <c r="G37" s="7" t="n">
        <v>306.9</v>
      </c>
      <c r="H37" s="6" t="inlineStr">
        <is>
          <t>Stated amount</t>
        </is>
      </c>
      <c r="I37" s="12" t="inlineStr">
        <is>
          <t>FIXED</t>
        </is>
      </c>
      <c r="J37" s="6" t="inlineStr">
        <is>
          <t>yes</t>
        </is>
      </c>
      <c r="K37" s="6" t="inlineStr"/>
    </row>
    <row r="38">
      <c r="A38" s="5" t="n">
        <v>46525</v>
      </c>
      <c r="B38" s="6" t="inlineStr">
        <is>
          <t>Tue</t>
        </is>
      </c>
      <c r="C38" s="6" t="inlineStr">
        <is>
          <t>Comcast</t>
        </is>
      </c>
      <c r="D38" s="6" t="inlineStr">
        <is>
          <t>2 Essential</t>
        </is>
      </c>
      <c r="E38" s="6" t="inlineStr">
        <is>
          <t>monthly</t>
        </is>
      </c>
      <c r="F38" s="11" t="n">
        <v>138.93</v>
      </c>
      <c r="G38" s="7" t="n">
        <v>138.93</v>
      </c>
      <c r="H38" s="6" t="inlineStr">
        <is>
          <t>Stated amount</t>
        </is>
      </c>
      <c r="I38" s="6" t="inlineStr">
        <is>
          <t>UNKNOWN</t>
        </is>
      </c>
      <c r="J38" s="6" t="inlineStr">
        <is>
          <t>yes</t>
        </is>
      </c>
      <c r="K38" s="6" t="inlineStr"/>
    </row>
    <row r="39">
      <c r="A39" s="5" t="n">
        <v>46525</v>
      </c>
      <c r="B39" s="6" t="inlineStr">
        <is>
          <t>Tue</t>
        </is>
      </c>
      <c r="C39" s="6" t="inlineStr">
        <is>
          <t>Lowes</t>
        </is>
      </c>
      <c r="D39" s="6" t="inlineStr">
        <is>
          <t>5 Discretionary</t>
        </is>
      </c>
      <c r="E39" s="6" t="inlineStr">
        <is>
          <t>monthly</t>
        </is>
      </c>
      <c r="F39" s="11" t="n">
        <v>126</v>
      </c>
      <c r="G39" s="7" t="n">
        <v>69</v>
      </c>
      <c r="H39" s="14" t="inlineStr">
        <is>
          <t>SUPERSEDED - see notes</t>
        </is>
      </c>
      <c r="I39" s="6" t="inlineStr">
        <is>
          <t>UNKNOWN</t>
        </is>
      </c>
      <c r="J39" s="6" t="inlineStr">
        <is>
          <t>yes</t>
        </is>
      </c>
      <c r="K39" s="6" t="inlineStr">
        <is>
          <t>122.00 - 126.00</t>
        </is>
      </c>
    </row>
    <row r="40">
      <c r="A40" s="5" t="n">
        <v>46525</v>
      </c>
      <c r="B40" s="6" t="inlineStr">
        <is>
          <t>Tue</t>
        </is>
      </c>
      <c r="C40" s="6" t="inlineStr">
        <is>
          <t>Upgrade basement</t>
        </is>
      </c>
      <c r="D40" s="6" t="inlineStr">
        <is>
          <t>3 Required debt</t>
        </is>
      </c>
      <c r="E40" s="6" t="inlineStr">
        <is>
          <t>monthly</t>
        </is>
      </c>
      <c r="F40" s="11" t="n">
        <v>86.36</v>
      </c>
      <c r="G40" s="7" t="n">
        <v>86.36</v>
      </c>
      <c r="H40" s="6" t="inlineStr">
        <is>
          <t>Stated amount</t>
        </is>
      </c>
      <c r="I40" s="12" t="inlineStr">
        <is>
          <t>FIXED</t>
        </is>
      </c>
      <c r="J40" s="6" t="inlineStr">
        <is>
          <t>yes</t>
        </is>
      </c>
      <c r="K40" s="6" t="inlineStr"/>
    </row>
    <row r="41">
      <c r="A41" s="5" t="n">
        <v>46526</v>
      </c>
      <c r="B41" s="6" t="inlineStr">
        <is>
          <t>Wed</t>
        </is>
      </c>
      <c r="C41" s="6" t="inlineStr">
        <is>
          <t>IRS state</t>
        </is>
      </c>
      <c r="D41" s="6" t="inlineStr">
        <is>
          <t>2 Essential</t>
        </is>
      </c>
      <c r="E41" s="6" t="inlineStr">
        <is>
          <t>monthly</t>
        </is>
      </c>
      <c r="F41" s="11" t="n">
        <v>114</v>
      </c>
      <c r="G41" s="7" t="n">
        <v>114</v>
      </c>
      <c r="H41" s="6" t="inlineStr">
        <is>
          <t>Stated amount</t>
        </is>
      </c>
      <c r="I41" s="12" t="inlineStr">
        <is>
          <t>FIXED</t>
        </is>
      </c>
      <c r="J41" s="6" t="inlineStr">
        <is>
          <t>no</t>
        </is>
      </c>
      <c r="K41" s="6" t="inlineStr"/>
    </row>
    <row r="42">
      <c r="A42" s="5" t="n">
        <v>46526</v>
      </c>
      <c r="B42" s="6" t="inlineStr">
        <is>
          <t>Wed</t>
        </is>
      </c>
      <c r="C42" s="6" t="inlineStr">
        <is>
          <t>IRS federal</t>
        </is>
      </c>
      <c r="D42" s="6" t="inlineStr">
        <is>
          <t>2 Essential</t>
        </is>
      </c>
      <c r="E42" s="6" t="inlineStr">
        <is>
          <t>monthly</t>
        </is>
      </c>
      <c r="F42" s="11" t="n">
        <v>103</v>
      </c>
      <c r="G42" s="7" t="n">
        <v>103</v>
      </c>
      <c r="H42" s="6" t="inlineStr">
        <is>
          <t>Stated amount</t>
        </is>
      </c>
      <c r="I42" s="12" t="inlineStr">
        <is>
          <t>FIXED</t>
        </is>
      </c>
      <c r="J42" s="6" t="inlineStr">
        <is>
          <t>no</t>
        </is>
      </c>
      <c r="K42" s="6" t="inlineStr"/>
    </row>
    <row r="43">
      <c r="A43" s="5" t="n">
        <v>46529</v>
      </c>
      <c r="B43" s="6" t="inlineStr">
        <is>
          <t>Sat</t>
        </is>
      </c>
      <c r="C43" s="6" t="inlineStr">
        <is>
          <t>Chase CC United</t>
        </is>
      </c>
      <c r="D43" s="6" t="inlineStr">
        <is>
          <t>3 Required debt</t>
        </is>
      </c>
      <c r="E43" s="6" t="inlineStr">
        <is>
          <t>monthly</t>
        </is>
      </c>
      <c r="F43" s="11" t="n">
        <v>88</v>
      </c>
      <c r="G43" s="7" t="n">
        <v>46</v>
      </c>
      <c r="H43" s="14" t="inlineStr">
        <is>
          <t>SUPERSEDED - see notes</t>
        </is>
      </c>
      <c r="I43" s="6" t="inlineStr">
        <is>
          <t>UNKNOWN</t>
        </is>
      </c>
      <c r="J43" s="6" t="inlineStr">
        <is>
          <t>yes</t>
        </is>
      </c>
      <c r="K43" s="6" t="inlineStr">
        <is>
          <t>76.00 - 88.00</t>
        </is>
      </c>
    </row>
    <row r="44">
      <c r="A44" s="5" t="n">
        <v>46530</v>
      </c>
      <c r="B44" s="6" t="inlineStr">
        <is>
          <t>Sun</t>
        </is>
      </c>
      <c r="C44" s="6" t="inlineStr">
        <is>
          <t>Groceries</t>
        </is>
      </c>
      <c r="D44" s="6" t="inlineStr">
        <is>
          <t>2 Essential</t>
        </is>
      </c>
      <c r="E44" s="6" t="inlineStr">
        <is>
          <t>weekly</t>
        </is>
      </c>
      <c r="F44" s="11" t="n">
        <v>319.09</v>
      </c>
      <c r="G44" s="7" t="n">
        <v>319.09</v>
      </c>
      <c r="H44" s="6" t="inlineStr">
        <is>
          <t>Stated amount</t>
        </is>
      </c>
      <c r="I44" s="12" t="inlineStr">
        <is>
          <t>FIXED</t>
        </is>
      </c>
      <c r="J44" s="6" t="inlineStr">
        <is>
          <t>no</t>
        </is>
      </c>
      <c r="K44" s="6" t="inlineStr">
        <is>
          <t>12.78 - 791.32</t>
        </is>
      </c>
    </row>
    <row r="45">
      <c r="A45" s="5" t="n">
        <v>46530</v>
      </c>
      <c r="B45" s="6" t="inlineStr">
        <is>
          <t>Sun</t>
        </is>
      </c>
      <c r="C45" s="6" t="inlineStr">
        <is>
          <t>Fuel</t>
        </is>
      </c>
      <c r="D45" s="6" t="inlineStr">
        <is>
          <t>2 Essential</t>
        </is>
      </c>
      <c r="E45" s="6" t="inlineStr">
        <is>
          <t>weekly</t>
        </is>
      </c>
      <c r="F45" s="11" t="n">
        <v>90.77</v>
      </c>
      <c r="G45" s="7" t="n">
        <v>90.77</v>
      </c>
      <c r="H45" s="6" t="inlineStr">
        <is>
          <t>Stated amount</t>
        </is>
      </c>
      <c r="I45" s="12" t="inlineStr">
        <is>
          <t>FIXED</t>
        </is>
      </c>
      <c r="J45" s="6" t="inlineStr">
        <is>
          <t>no</t>
        </is>
      </c>
      <c r="K45" s="6" t="inlineStr">
        <is>
          <t>20.00 - 447.12</t>
        </is>
      </c>
    </row>
    <row r="46">
      <c r="A46" s="5" t="n">
        <v>46530</v>
      </c>
      <c r="B46" s="6" t="inlineStr">
        <is>
          <t>Sun</t>
        </is>
      </c>
      <c r="C46" s="6" t="inlineStr">
        <is>
          <t>Netflix</t>
        </is>
      </c>
      <c r="D46" s="6" t="inlineStr">
        <is>
          <t>5 Discretionary</t>
        </is>
      </c>
      <c r="E46" s="6" t="inlineStr">
        <is>
          <t>monthly</t>
        </is>
      </c>
      <c r="F46" s="11" t="n">
        <v>21.31</v>
      </c>
      <c r="G46" s="7" t="n">
        <v>21.31</v>
      </c>
      <c r="H46" s="6" t="inlineStr">
        <is>
          <t>Stated amount</t>
        </is>
      </c>
      <c r="I46" s="6" t="inlineStr">
        <is>
          <t>UNKNOWN</t>
        </is>
      </c>
      <c r="J46" s="6" t="inlineStr">
        <is>
          <t>yes</t>
        </is>
      </c>
      <c r="K46" s="6" t="inlineStr"/>
    </row>
    <row r="47">
      <c r="A47" s="5" t="n">
        <v>46531</v>
      </c>
      <c r="B47" s="6" t="inlineStr">
        <is>
          <t>Mon</t>
        </is>
      </c>
      <c r="C47" s="6" t="inlineStr">
        <is>
          <t>Kia</t>
        </is>
      </c>
      <c r="D47" s="6" t="inlineStr">
        <is>
          <t>1 Secured/critical</t>
        </is>
      </c>
      <c r="E47" s="6" t="inlineStr">
        <is>
          <t>monthly</t>
        </is>
      </c>
      <c r="F47" s="11" t="n">
        <v>742.65</v>
      </c>
      <c r="G47" s="7" t="n">
        <v>742.65</v>
      </c>
      <c r="H47" s="6" t="inlineStr">
        <is>
          <t>Stated amount</t>
        </is>
      </c>
      <c r="I47" s="12" t="inlineStr">
        <is>
          <t>FIXED</t>
        </is>
      </c>
      <c r="J47" s="6" t="inlineStr">
        <is>
          <t>yes</t>
        </is>
      </c>
      <c r="K47" s="6" t="inlineStr"/>
    </row>
    <row r="48">
      <c r="A48" s="5" t="n">
        <v>46531</v>
      </c>
      <c r="B48" s="6" t="inlineStr">
        <is>
          <t>Mon</t>
        </is>
      </c>
      <c r="C48" s="6" t="inlineStr">
        <is>
          <t>Upstart past bills (from Sep)</t>
        </is>
      </c>
      <c r="D48" s="6" t="inlineStr">
        <is>
          <t>3 Required debt</t>
        </is>
      </c>
      <c r="E48" s="6" t="inlineStr">
        <is>
          <t>monthly</t>
        </is>
      </c>
      <c r="F48" s="11" t="n">
        <v>337.61</v>
      </c>
      <c r="G48" s="7" t="n">
        <v>337.61</v>
      </c>
      <c r="H48" s="6" t="inlineStr">
        <is>
          <t>Stated amount</t>
        </is>
      </c>
      <c r="I48" s="12" t="inlineStr">
        <is>
          <t>FIXED</t>
        </is>
      </c>
      <c r="J48" s="6" t="inlineStr">
        <is>
          <t>yes</t>
        </is>
      </c>
      <c r="K48" s="6" t="inlineStr"/>
    </row>
    <row r="49">
      <c r="A49" s="5" t="n">
        <v>46534</v>
      </c>
      <c r="B49" s="6" t="inlineStr">
        <is>
          <t>Thu</t>
        </is>
      </c>
      <c r="C49" s="6" t="inlineStr">
        <is>
          <t>Barclay Old Navy</t>
        </is>
      </c>
      <c r="D49" s="6" t="inlineStr">
        <is>
          <t>3 Required debt</t>
        </is>
      </c>
      <c r="E49" s="6" t="inlineStr">
        <is>
          <t>monthly</t>
        </is>
      </c>
      <c r="F49" s="11" t="n">
        <v>84.78</v>
      </c>
      <c r="G49" s="7" t="n">
        <v>60.74</v>
      </c>
      <c r="H49" s="13" t="inlineStr">
        <is>
          <t>Forecast at worst seen</t>
        </is>
      </c>
      <c r="I49" s="6" t="inlineStr">
        <is>
          <t>UNKNOWN</t>
        </is>
      </c>
      <c r="J49" s="6" t="inlineStr">
        <is>
          <t>yes</t>
        </is>
      </c>
      <c r="K49" s="6" t="inlineStr">
        <is>
          <t>52.98 - 84.78</t>
        </is>
      </c>
    </row>
    <row r="50">
      <c r="A50" s="5" t="n">
        <v>46536</v>
      </c>
      <c r="B50" s="6" t="inlineStr">
        <is>
          <t>Sat</t>
        </is>
      </c>
      <c r="C50" s="6" t="inlineStr">
        <is>
          <t>Xfinity Mobile</t>
        </is>
      </c>
      <c r="D50" s="6" t="inlineStr">
        <is>
          <t>2 Essential</t>
        </is>
      </c>
      <c r="E50" s="6" t="inlineStr">
        <is>
          <t>monthly</t>
        </is>
      </c>
      <c r="F50" s="11" t="n">
        <v>88.81999999999999</v>
      </c>
      <c r="G50" s="7" t="n">
        <v>88.81999999999999</v>
      </c>
      <c r="H50" s="6" t="inlineStr">
        <is>
          <t>Stated amount</t>
        </is>
      </c>
      <c r="I50" s="6" t="inlineStr">
        <is>
          <t>UNKNOWN</t>
        </is>
      </c>
      <c r="J50" s="6" t="inlineStr">
        <is>
          <t>yes</t>
        </is>
      </c>
      <c r="K50" s="6" t="inlineStr"/>
    </row>
    <row r="51">
      <c r="A51" s="5" t="n">
        <v>46536</v>
      </c>
      <c r="B51" s="6" t="inlineStr">
        <is>
          <t>Sat</t>
        </is>
      </c>
      <c r="C51" s="6" t="inlineStr">
        <is>
          <t>Affirm</t>
        </is>
      </c>
      <c r="D51" s="6" t="inlineStr">
        <is>
          <t>3 Required debt</t>
        </is>
      </c>
      <c r="E51" s="6" t="inlineStr">
        <is>
          <t>monthly</t>
        </is>
      </c>
      <c r="F51" s="11" t="n">
        <v>73.06999999999999</v>
      </c>
      <c r="G51" s="7" t="n">
        <v>73.06999999999999</v>
      </c>
      <c r="H51" s="6" t="inlineStr">
        <is>
          <t>Stated amount</t>
        </is>
      </c>
      <c r="I51" s="6" t="inlineStr">
        <is>
          <t>UNKNOWN</t>
        </is>
      </c>
      <c r="J51" s="6" t="inlineStr">
        <is>
          <t>yes</t>
        </is>
      </c>
      <c r="K51" s="6" t="inlineStr"/>
    </row>
    <row r="52">
      <c r="A52" s="5" t="n">
        <v>46537</v>
      </c>
      <c r="B52" s="6" t="inlineStr">
        <is>
          <t>Sun</t>
        </is>
      </c>
      <c r="C52" s="6" t="inlineStr">
        <is>
          <t>Groceries</t>
        </is>
      </c>
      <c r="D52" s="6" t="inlineStr">
        <is>
          <t>2 Essential</t>
        </is>
      </c>
      <c r="E52" s="6" t="inlineStr">
        <is>
          <t>weekly</t>
        </is>
      </c>
      <c r="F52" s="11" t="n">
        <v>319.09</v>
      </c>
      <c r="G52" s="7" t="n">
        <v>319.09</v>
      </c>
      <c r="H52" s="6" t="inlineStr">
        <is>
          <t>Stated amount</t>
        </is>
      </c>
      <c r="I52" s="12" t="inlineStr">
        <is>
          <t>FIXED</t>
        </is>
      </c>
      <c r="J52" s="6" t="inlineStr">
        <is>
          <t>no</t>
        </is>
      </c>
      <c r="K52" s="6" t="inlineStr">
        <is>
          <t>12.78 - 791.32</t>
        </is>
      </c>
    </row>
    <row r="53">
      <c r="A53" s="5" t="n">
        <v>46537</v>
      </c>
      <c r="B53" s="6" t="inlineStr">
        <is>
          <t>Sun</t>
        </is>
      </c>
      <c r="C53" s="6" t="inlineStr">
        <is>
          <t>Fuel</t>
        </is>
      </c>
      <c r="D53" s="6" t="inlineStr">
        <is>
          <t>2 Essential</t>
        </is>
      </c>
      <c r="E53" s="6" t="inlineStr">
        <is>
          <t>weekly</t>
        </is>
      </c>
      <c r="F53" s="11" t="n">
        <v>90.77</v>
      </c>
      <c r="G53" s="7" t="n">
        <v>90.77</v>
      </c>
      <c r="H53" s="6" t="inlineStr">
        <is>
          <t>Stated amount</t>
        </is>
      </c>
      <c r="I53" s="12" t="inlineStr">
        <is>
          <t>FIXED</t>
        </is>
      </c>
      <c r="J53" s="6" t="inlineStr">
        <is>
          <t>no</t>
        </is>
      </c>
      <c r="K53" s="6" t="inlineStr">
        <is>
          <t>20.00 - 447.12</t>
        </is>
      </c>
    </row>
    <row r="54">
      <c r="A54" s="5" t="n">
        <v>46538</v>
      </c>
      <c r="B54" s="6" t="inlineStr">
        <is>
          <t>Mon</t>
        </is>
      </c>
      <c r="C54" s="6" t="inlineStr">
        <is>
          <t>Mortgage</t>
        </is>
      </c>
      <c r="D54" s="6" t="inlineStr">
        <is>
          <t>1 Secured/critical</t>
        </is>
      </c>
      <c r="E54" s="6" t="inlineStr">
        <is>
          <t>biweekly</t>
        </is>
      </c>
      <c r="F54" s="11" t="n">
        <v>1801.62</v>
      </c>
      <c r="G54" s="7" t="n">
        <v>1801.62</v>
      </c>
      <c r="H54" s="6" t="inlineStr">
        <is>
          <t>Stated amount</t>
        </is>
      </c>
      <c r="I54" s="12" t="inlineStr">
        <is>
          <t>FIXED</t>
        </is>
      </c>
      <c r="J54" s="6" t="inlineStr">
        <is>
          <t>no</t>
        </is>
      </c>
      <c r="K54" s="6" t="inlineStr"/>
    </row>
    <row r="55">
      <c r="A55" s="8" t="n"/>
      <c r="B55" s="8" t="n"/>
      <c r="C55" s="9" t="inlineStr">
        <is>
          <t>Total money out</t>
        </is>
      </c>
      <c r="D55" s="8" t="n"/>
      <c r="E55" s="8" t="n"/>
      <c r="F55" s="10">
        <f>SUM(F14:F54)</f>
        <v/>
      </c>
      <c r="G55" s="10">
        <f>SUM(G14:G54)</f>
        <v/>
      </c>
      <c r="H55" s="8" t="n"/>
      <c r="I55" s="8" t="n"/>
      <c r="J55" s="8" t="n"/>
      <c r="K55" s="8" t="n"/>
    </row>
    <row r="57">
      <c r="A57" s="3" t="inlineStr">
        <is>
          <t>MONTH SUMMARY</t>
        </is>
      </c>
    </row>
    <row r="58">
      <c r="C58" s="6" t="inlineStr">
        <is>
          <t>Money in</t>
        </is>
      </c>
      <c r="D58" s="15" t="n"/>
      <c r="E58" s="15" t="n"/>
      <c r="F58" s="16">
        <f>E10</f>
        <v/>
      </c>
    </row>
    <row r="59">
      <c r="C59" s="6" t="inlineStr">
        <is>
          <t>Money out (budget)</t>
        </is>
      </c>
      <c r="D59" s="15" t="n"/>
      <c r="E59" s="15" t="n"/>
      <c r="F59" s="16">
        <f>F55</f>
        <v/>
      </c>
    </row>
    <row r="60">
      <c r="C60" s="9" t="inlineStr">
        <is>
          <t>Net for the month</t>
        </is>
      </c>
      <c r="D60" s="8" t="n"/>
      <c r="E60" s="8" t="n"/>
      <c r="F60" s="10">
        <f>E10-F55</f>
        <v/>
      </c>
    </row>
    <row r="61">
      <c r="C61" s="6" t="inlineStr">
        <is>
          <t>Money out at stored amounts</t>
        </is>
      </c>
      <c r="D61" s="15" t="n"/>
      <c r="E61" s="15" t="n"/>
      <c r="F61" s="16">
        <f>G55</f>
        <v/>
      </c>
    </row>
    <row r="62">
      <c r="C62" s="6" t="inlineStr">
        <is>
          <t>Over-forecast vs stored</t>
        </is>
      </c>
      <c r="D62" s="15" t="n"/>
      <c r="E62" s="15" t="n"/>
      <c r="F62" s="16">
        <f>F55-G55</f>
        <v/>
      </c>
    </row>
    <row r="64">
      <c r="A64" s="3" t="inlineStr">
        <is>
          <t>NOTES AND ASSUMPTIONS</t>
        </is>
      </c>
    </row>
    <row r="65">
      <c r="A65" s="17" t="inlineStr">
        <is>
          <t>- INCOME SWITCHED OFF: Branchburg BOE payroll (2,829.31 biweekly) is recorded in income.json but NOT counted anywhere in this workbook. If it is actually being received, every monthly net figure here is understated by that amount.</t>
        </is>
      </c>
    </row>
    <row r="66">
      <c r="A66" s="17" t="inlineStr">
        <is>
          <t>- Budget vs Stored: 'Budget' is what the engine forecasts for that date; 'Stored' is the figure recorded in bills.json.</t>
        </is>
      </c>
    </row>
    <row r="67">
      <c r="A67" s="17" t="inlineStr">
        <is>
          <t>- Seasonal profile: gas and electric carry a month-of-year profile built from recent years of statements, so their budget figure changes every month. Neither figure is wrong.</t>
        </is>
      </c>
    </row>
    <row r="68">
      <c r="A68" s="17" t="inlineStr">
        <is>
          <t>- Forecast at worst seen: a variable bill landing monthly or less often is budgeted at the top of its observed range, deliberately, because under-forecasting an outflow is what causes an overdraft.</t>
        </is>
      </c>
    </row>
    <row r="69">
      <c r="A69" s="17" t="inlineStr">
        <is>
          <t>- SUPERSEDED: the engine is forecasting ABOVE an amount the household renegotiated, because the observed maximum predates the correction. Affects four cards and the water bill. This is a defect, not a rule - the Stored column is the agreed figure.</t>
        </is>
      </c>
    </row>
    <row r="70">
      <c r="A70" s="17" t="inlineStr">
        <is>
          <t>- Movability: FIXED means secured or recorded as non-deferrable. UNKNOWN means nothing records how late the payment may safely be, so no date change can be recommended without confirming it.</t>
        </is>
      </c>
    </row>
    <row r="71">
      <c r="A71" s="17" t="inlineStr">
        <is>
          <t>- Weekly items (groceries, fuel) appear once per occurrence, so a five-week month legitimately shows five rows.</t>
        </is>
      </c>
    </row>
    <row r="72">
      <c r="A72" s="17" t="inlineStr">
        <is>
          <t>- Excluded as ended or paid off, kept for history: Affirm large, Trilogy Lacrosse.</t>
        </is>
      </c>
    </row>
  </sheetData>
  <mergeCells count="10">
    <mergeCell ref="A69:K69"/>
    <mergeCell ref="A72:K72"/>
    <mergeCell ref="A65:K65"/>
    <mergeCell ref="A2:K2"/>
    <mergeCell ref="A71:K71"/>
    <mergeCell ref="A68:K68"/>
    <mergeCell ref="A66:K66"/>
    <mergeCell ref="A1:K1"/>
    <mergeCell ref="A70:K70"/>
    <mergeCell ref="A67:K67"/>
  </mergeCell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1:K70"/>
  <sheetViews>
    <sheetView showGridLines="0" workbookViewId="0">
      <pane ySplit="14" topLeftCell="A15"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June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46540</v>
      </c>
      <c r="B6" s="6" t="inlineStr">
        <is>
          <t>Wed</t>
        </is>
      </c>
      <c r="C6" s="6" t="inlineStr">
        <is>
          <t>Insight Global payroll</t>
        </is>
      </c>
      <c r="D6" s="6" t="inlineStr">
        <is>
          <t>weekly</t>
        </is>
      </c>
      <c r="E6" s="7" t="n">
        <v>2016.06</v>
      </c>
      <c r="F6" s="6" t="inlineStr">
        <is>
          <t>UNVERIFIED - flagged needs_review</t>
        </is>
      </c>
    </row>
    <row r="7">
      <c r="A7" s="5" t="n">
        <v>46547</v>
      </c>
      <c r="B7" s="6" t="inlineStr">
        <is>
          <t>Wed</t>
        </is>
      </c>
      <c r="C7" s="6" t="inlineStr">
        <is>
          <t>Insight Global payroll</t>
        </is>
      </c>
      <c r="D7" s="6" t="inlineStr">
        <is>
          <t>weekly</t>
        </is>
      </c>
      <c r="E7" s="7" t="n">
        <v>2016.06</v>
      </c>
      <c r="F7" s="6" t="inlineStr">
        <is>
          <t>UNVERIFIED - flagged needs_review</t>
        </is>
      </c>
    </row>
    <row r="8">
      <c r="A8" s="5" t="n">
        <v>46554</v>
      </c>
      <c r="B8" s="6" t="inlineStr">
        <is>
          <t>Wed</t>
        </is>
      </c>
      <c r="C8" s="6" t="inlineStr">
        <is>
          <t>Insight Global payroll</t>
        </is>
      </c>
      <c r="D8" s="6" t="inlineStr">
        <is>
          <t>weekly</t>
        </is>
      </c>
      <c r="E8" s="7" t="n">
        <v>2016.06</v>
      </c>
      <c r="F8" s="6" t="inlineStr">
        <is>
          <t>UNVERIFIED - flagged needs_review</t>
        </is>
      </c>
    </row>
    <row r="9">
      <c r="A9" s="5" t="n">
        <v>46561</v>
      </c>
      <c r="B9" s="6" t="inlineStr">
        <is>
          <t>Wed</t>
        </is>
      </c>
      <c r="C9" s="6" t="inlineStr">
        <is>
          <t>Insight Global payroll</t>
        </is>
      </c>
      <c r="D9" s="6" t="inlineStr">
        <is>
          <t>weekly</t>
        </is>
      </c>
      <c r="E9" s="7" t="n">
        <v>2016.06</v>
      </c>
      <c r="F9" s="6" t="inlineStr">
        <is>
          <t>UNVERIFIED - flagged needs_review</t>
        </is>
      </c>
    </row>
    <row r="10">
      <c r="A10" s="5" t="n">
        <v>46568</v>
      </c>
      <c r="B10" s="6" t="inlineStr">
        <is>
          <t>Wed</t>
        </is>
      </c>
      <c r="C10" s="6" t="inlineStr">
        <is>
          <t>Insight Global payroll</t>
        </is>
      </c>
      <c r="D10" s="6" t="inlineStr">
        <is>
          <t>weekly</t>
        </is>
      </c>
      <c r="E10" s="7" t="n">
        <v>2016.06</v>
      </c>
      <c r="F10" s="6" t="inlineStr">
        <is>
          <t>UNVERIFIED - flagged needs_review</t>
        </is>
      </c>
    </row>
    <row r="11">
      <c r="A11" s="8" t="n"/>
      <c r="B11" s="8" t="n"/>
      <c r="C11" s="9" t="inlineStr">
        <is>
          <t>Total money in</t>
        </is>
      </c>
      <c r="D11" s="8" t="n"/>
      <c r="E11" s="10">
        <f>SUM(E6:E10)</f>
        <v/>
      </c>
      <c r="F11" s="8" t="n"/>
    </row>
    <row r="13">
      <c r="A13" s="3" t="inlineStr">
        <is>
          <t>MONEY OUT</t>
        </is>
      </c>
    </row>
    <row r="14">
      <c r="A14" s="4" t="inlineStr">
        <is>
          <t>Due date</t>
        </is>
      </c>
      <c r="B14" s="4" t="inlineStr">
        <is>
          <t>Day</t>
        </is>
      </c>
      <c r="C14" s="4" t="inlineStr">
        <is>
          <t>Bill / payee</t>
        </is>
      </c>
      <c r="D14" s="4" t="inlineStr">
        <is>
          <t>Category</t>
        </is>
      </c>
      <c r="E14" s="4" t="inlineStr">
        <is>
          <t>Frequency</t>
        </is>
      </c>
      <c r="F14" s="4" t="inlineStr">
        <is>
          <t>Budget</t>
        </is>
      </c>
      <c r="G14" s="4" t="inlineStr">
        <is>
          <t>Stored</t>
        </is>
      </c>
      <c r="H14" s="4" t="inlineStr">
        <is>
          <t>Basis</t>
        </is>
      </c>
      <c r="I14" s="4" t="inlineStr">
        <is>
          <t>Movability</t>
        </is>
      </c>
      <c r="J14" s="4" t="inlineStr">
        <is>
          <t>Autopay</t>
        </is>
      </c>
      <c r="K14" s="4" t="inlineStr">
        <is>
          <t>Historical range seen</t>
        </is>
      </c>
    </row>
    <row r="15">
      <c r="A15" s="5" t="n">
        <v>46541</v>
      </c>
      <c r="B15" s="6" t="inlineStr">
        <is>
          <t>Thu</t>
        </is>
      </c>
      <c r="C15" s="6" t="inlineStr">
        <is>
          <t>JCP&amp;L / FirstEnergy</t>
        </is>
      </c>
      <c r="D15" s="6" t="inlineStr">
        <is>
          <t>2 Essential</t>
        </is>
      </c>
      <c r="E15" s="6" t="inlineStr">
        <is>
          <t>monthly</t>
        </is>
      </c>
      <c r="F15" s="11" t="n">
        <v>154.11</v>
      </c>
      <c r="G15" s="7" t="n">
        <v>418.98</v>
      </c>
      <c r="H15" s="6" t="inlineStr">
        <is>
          <t>Seasonal profile</t>
        </is>
      </c>
      <c r="I15" s="12" t="inlineStr">
        <is>
          <t>FIXED</t>
        </is>
      </c>
      <c r="J15" s="6" t="inlineStr">
        <is>
          <t>no</t>
        </is>
      </c>
      <c r="K15" s="6" t="inlineStr">
        <is>
          <t>130.28 - 489.87</t>
        </is>
      </c>
    </row>
    <row r="16">
      <c r="A16" s="5" t="n">
        <v>46542</v>
      </c>
      <c r="B16" s="6" t="inlineStr">
        <is>
          <t>Fri</t>
        </is>
      </c>
      <c r="C16" s="6" t="inlineStr">
        <is>
          <t>Culligan</t>
        </is>
      </c>
      <c r="D16" s="6" t="inlineStr">
        <is>
          <t>5 Discretionary</t>
        </is>
      </c>
      <c r="E16" s="6" t="inlineStr">
        <is>
          <t>monthly</t>
        </is>
      </c>
      <c r="F16" s="11" t="n">
        <v>307.7</v>
      </c>
      <c r="G16" s="7" t="n">
        <v>40.39</v>
      </c>
      <c r="H16" s="13" t="inlineStr">
        <is>
          <t>Forecast at worst seen</t>
        </is>
      </c>
      <c r="I16" s="6" t="inlineStr">
        <is>
          <t>UNKNOWN</t>
        </is>
      </c>
      <c r="J16" s="6" t="inlineStr">
        <is>
          <t>no</t>
        </is>
      </c>
      <c r="K16" s="6" t="inlineStr">
        <is>
          <t>40.39 - 307.70</t>
        </is>
      </c>
    </row>
    <row r="17">
      <c r="A17" s="5" t="n">
        <v>46542</v>
      </c>
      <c r="B17" s="6" t="inlineStr">
        <is>
          <t>Fri</t>
        </is>
      </c>
      <c r="C17" s="6" t="inlineStr">
        <is>
          <t>TJX Rewards</t>
        </is>
      </c>
      <c r="D17" s="6" t="inlineStr">
        <is>
          <t>5 Discretionary</t>
        </is>
      </c>
      <c r="E17" s="6" t="inlineStr">
        <is>
          <t>monthly</t>
        </is>
      </c>
      <c r="F17" s="11" t="n">
        <v>36</v>
      </c>
      <c r="G17" s="7" t="n">
        <v>36</v>
      </c>
      <c r="H17" s="6" t="inlineStr">
        <is>
          <t>Stated amount</t>
        </is>
      </c>
      <c r="I17" s="6" t="inlineStr">
        <is>
          <t>UNKNOWN</t>
        </is>
      </c>
      <c r="J17" s="6" t="inlineStr">
        <is>
          <t>yes</t>
        </is>
      </c>
      <c r="K17" s="6" t="inlineStr"/>
    </row>
    <row r="18">
      <c r="A18" s="5" t="n">
        <v>46544</v>
      </c>
      <c r="B18" s="6" t="inlineStr">
        <is>
          <t>Sun</t>
        </is>
      </c>
      <c r="C18" s="6" t="inlineStr">
        <is>
          <t>One Main loan</t>
        </is>
      </c>
      <c r="D18" s="6" t="inlineStr">
        <is>
          <t>3 Required debt</t>
        </is>
      </c>
      <c r="E18" s="6" t="inlineStr">
        <is>
          <t>monthly</t>
        </is>
      </c>
      <c r="F18" s="11" t="n">
        <v>388.24</v>
      </c>
      <c r="G18" s="7" t="n">
        <v>388.24</v>
      </c>
      <c r="H18" s="6" t="inlineStr">
        <is>
          <t>Stated amount</t>
        </is>
      </c>
      <c r="I18" s="12" t="inlineStr">
        <is>
          <t>FIXED</t>
        </is>
      </c>
      <c r="J18" s="6" t="inlineStr">
        <is>
          <t>yes</t>
        </is>
      </c>
      <c r="K18" s="6" t="inlineStr"/>
    </row>
    <row r="19">
      <c r="A19" s="5" t="n">
        <v>46544</v>
      </c>
      <c r="B19" s="6" t="inlineStr">
        <is>
          <t>Sun</t>
        </is>
      </c>
      <c r="C19" s="6" t="inlineStr">
        <is>
          <t>Groceries</t>
        </is>
      </c>
      <c r="D19" s="6" t="inlineStr">
        <is>
          <t>2 Essential</t>
        </is>
      </c>
      <c r="E19" s="6" t="inlineStr">
        <is>
          <t>weekly</t>
        </is>
      </c>
      <c r="F19" s="11" t="n">
        <v>319.09</v>
      </c>
      <c r="G19" s="7" t="n">
        <v>319.09</v>
      </c>
      <c r="H19" s="6" t="inlineStr">
        <is>
          <t>Stated amount</t>
        </is>
      </c>
      <c r="I19" s="12" t="inlineStr">
        <is>
          <t>FIXED</t>
        </is>
      </c>
      <c r="J19" s="6" t="inlineStr">
        <is>
          <t>no</t>
        </is>
      </c>
      <c r="K19" s="6" t="inlineStr">
        <is>
          <t>12.78 - 791.32</t>
        </is>
      </c>
    </row>
    <row r="20">
      <c r="A20" s="5" t="n">
        <v>46544</v>
      </c>
      <c r="B20" s="6" t="inlineStr">
        <is>
          <t>Sun</t>
        </is>
      </c>
      <c r="C20" s="6" t="inlineStr">
        <is>
          <t>Fuel</t>
        </is>
      </c>
      <c r="D20" s="6" t="inlineStr">
        <is>
          <t>2 Essential</t>
        </is>
      </c>
      <c r="E20" s="6" t="inlineStr">
        <is>
          <t>weekly</t>
        </is>
      </c>
      <c r="F20" s="11" t="n">
        <v>90.77</v>
      </c>
      <c r="G20" s="7" t="n">
        <v>90.77</v>
      </c>
      <c r="H20" s="6" t="inlineStr">
        <is>
          <t>Stated amount</t>
        </is>
      </c>
      <c r="I20" s="12" t="inlineStr">
        <is>
          <t>FIXED</t>
        </is>
      </c>
      <c r="J20" s="6" t="inlineStr">
        <is>
          <t>no</t>
        </is>
      </c>
      <c r="K20" s="6" t="inlineStr">
        <is>
          <t>20.00 - 447.12</t>
        </is>
      </c>
    </row>
    <row r="21">
      <c r="A21" s="5" t="n">
        <v>46546</v>
      </c>
      <c r="B21" s="6" t="inlineStr">
        <is>
          <t>Tue</t>
        </is>
      </c>
      <c r="C21" s="6" t="inlineStr">
        <is>
          <t>PNC</t>
        </is>
      </c>
      <c r="D21" s="6" t="inlineStr">
        <is>
          <t>3 Required debt</t>
        </is>
      </c>
      <c r="E21" s="6" t="inlineStr">
        <is>
          <t>monthly</t>
        </is>
      </c>
      <c r="F21" s="11" t="n">
        <v>150</v>
      </c>
      <c r="G21" s="7" t="n">
        <v>70</v>
      </c>
      <c r="H21" s="13" t="inlineStr">
        <is>
          <t>Forecast at worst seen</t>
        </is>
      </c>
      <c r="I21" s="6" t="inlineStr">
        <is>
          <t>UNKNOWN</t>
        </is>
      </c>
      <c r="J21" s="6" t="inlineStr">
        <is>
          <t>no</t>
        </is>
      </c>
      <c r="K21" s="6" t="inlineStr">
        <is>
          <t>70.00 - 150.00</t>
        </is>
      </c>
    </row>
    <row r="22">
      <c r="A22" s="5" t="n">
        <v>46549</v>
      </c>
      <c r="B22" s="6" t="inlineStr">
        <is>
          <t>Fri</t>
        </is>
      </c>
      <c r="C22" s="6" t="inlineStr">
        <is>
          <t>Elizabethtown Gas</t>
        </is>
      </c>
      <c r="D22" s="6" t="inlineStr">
        <is>
          <t>2 Essential</t>
        </is>
      </c>
      <c r="E22" s="6" t="inlineStr">
        <is>
          <t>monthly</t>
        </is>
      </c>
      <c r="F22" s="11" t="n">
        <v>140.26</v>
      </c>
      <c r="G22" s="7" t="n">
        <v>54.03</v>
      </c>
      <c r="H22" s="6" t="inlineStr">
        <is>
          <t>Seasonal profile</t>
        </is>
      </c>
      <c r="I22" s="12" t="inlineStr">
        <is>
          <t>FIXED</t>
        </is>
      </c>
      <c r="J22" s="6" t="inlineStr">
        <is>
          <t>no</t>
        </is>
      </c>
      <c r="K22" s="6" t="inlineStr">
        <is>
          <t>54.03 - 550.83</t>
        </is>
      </c>
    </row>
    <row r="23">
      <c r="A23" s="5" t="n">
        <v>46549</v>
      </c>
      <c r="B23" s="6" t="inlineStr">
        <is>
          <t>Fri</t>
        </is>
      </c>
      <c r="C23" s="6" t="inlineStr">
        <is>
          <t>T-Mobile Lia</t>
        </is>
      </c>
      <c r="D23" s="6" t="inlineStr">
        <is>
          <t>2 Essential</t>
        </is>
      </c>
      <c r="E23" s="6" t="inlineStr">
        <is>
          <t>monthly</t>
        </is>
      </c>
      <c r="F23" s="11" t="n">
        <v>20.75</v>
      </c>
      <c r="G23" s="7" t="n">
        <v>20.75</v>
      </c>
      <c r="H23" s="6" t="inlineStr">
        <is>
          <t>Stated amount</t>
        </is>
      </c>
      <c r="I23" s="6" t="inlineStr">
        <is>
          <t>UNKNOWN</t>
        </is>
      </c>
      <c r="J23" s="6" t="inlineStr">
        <is>
          <t>yes</t>
        </is>
      </c>
      <c r="K23" s="6" t="inlineStr"/>
    </row>
    <row r="24">
      <c r="A24" s="5" t="n">
        <v>46550</v>
      </c>
      <c r="B24" s="6" t="inlineStr">
        <is>
          <t>Sat</t>
        </is>
      </c>
      <c r="C24" s="6" t="inlineStr">
        <is>
          <t>Hanover Auto</t>
        </is>
      </c>
      <c r="D24" s="6" t="inlineStr">
        <is>
          <t>2 Essential</t>
        </is>
      </c>
      <c r="E24" s="6" t="inlineStr">
        <is>
          <t>monthly</t>
        </is>
      </c>
      <c r="F24" s="11" t="n">
        <v>513.27</v>
      </c>
      <c r="G24" s="7" t="n">
        <v>513.27</v>
      </c>
      <c r="H24" s="6" t="inlineStr">
        <is>
          <t>Stated amount</t>
        </is>
      </c>
      <c r="I24" s="12" t="inlineStr">
        <is>
          <t>FIXED</t>
        </is>
      </c>
      <c r="J24" s="6" t="inlineStr">
        <is>
          <t>no</t>
        </is>
      </c>
      <c r="K24" s="6" t="inlineStr"/>
    </row>
    <row r="25">
      <c r="A25" s="5" t="n">
        <v>46550</v>
      </c>
      <c r="B25" s="6" t="inlineStr">
        <is>
          <t>Sat</t>
        </is>
      </c>
      <c r="C25" s="6" t="inlineStr">
        <is>
          <t>Comenity</t>
        </is>
      </c>
      <c r="D25" s="6" t="inlineStr">
        <is>
          <t>3 Required debt</t>
        </is>
      </c>
      <c r="E25" s="6" t="inlineStr">
        <is>
          <t>monthly</t>
        </is>
      </c>
      <c r="F25" s="11" t="n">
        <v>65</v>
      </c>
      <c r="G25" s="7" t="n">
        <v>50</v>
      </c>
      <c r="H25" s="13" t="inlineStr">
        <is>
          <t>Forecast at worst seen</t>
        </is>
      </c>
      <c r="I25" s="6" t="inlineStr">
        <is>
          <t>UNKNOWN</t>
        </is>
      </c>
      <c r="J25" s="6" t="inlineStr">
        <is>
          <t>no</t>
        </is>
      </c>
      <c r="K25" s="6" t="inlineStr">
        <is>
          <t>40.00 - 65.00</t>
        </is>
      </c>
    </row>
    <row r="26">
      <c r="A26" s="5" t="n">
        <v>46551</v>
      </c>
      <c r="B26" s="6" t="inlineStr">
        <is>
          <t>Sun</t>
        </is>
      </c>
      <c r="C26" s="6" t="inlineStr">
        <is>
          <t>Groceries</t>
        </is>
      </c>
      <c r="D26" s="6" t="inlineStr">
        <is>
          <t>2 Essential</t>
        </is>
      </c>
      <c r="E26" s="6" t="inlineStr">
        <is>
          <t>weekly</t>
        </is>
      </c>
      <c r="F26" s="11" t="n">
        <v>319.09</v>
      </c>
      <c r="G26" s="7" t="n">
        <v>319.09</v>
      </c>
      <c r="H26" s="6" t="inlineStr">
        <is>
          <t>Stated amount</t>
        </is>
      </c>
      <c r="I26" s="12" t="inlineStr">
        <is>
          <t>FIXED</t>
        </is>
      </c>
      <c r="J26" s="6" t="inlineStr">
        <is>
          <t>no</t>
        </is>
      </c>
      <c r="K26" s="6" t="inlineStr">
        <is>
          <t>12.78 - 791.32</t>
        </is>
      </c>
    </row>
    <row r="27">
      <c r="A27" s="5" t="n">
        <v>46551</v>
      </c>
      <c r="B27" s="6" t="inlineStr">
        <is>
          <t>Sun</t>
        </is>
      </c>
      <c r="C27" s="6" t="inlineStr">
        <is>
          <t>Fuel</t>
        </is>
      </c>
      <c r="D27" s="6" t="inlineStr">
        <is>
          <t>2 Essential</t>
        </is>
      </c>
      <c r="E27" s="6" t="inlineStr">
        <is>
          <t>weekly</t>
        </is>
      </c>
      <c r="F27" s="11" t="n">
        <v>90.77</v>
      </c>
      <c r="G27" s="7" t="n">
        <v>90.77</v>
      </c>
      <c r="H27" s="6" t="inlineStr">
        <is>
          <t>Stated amount</t>
        </is>
      </c>
      <c r="I27" s="12" t="inlineStr">
        <is>
          <t>FIXED</t>
        </is>
      </c>
      <c r="J27" s="6" t="inlineStr">
        <is>
          <t>no</t>
        </is>
      </c>
      <c r="K27" s="6" t="inlineStr">
        <is>
          <t>20.00 - 447.12</t>
        </is>
      </c>
    </row>
    <row r="28">
      <c r="A28" s="5" t="n">
        <v>46552</v>
      </c>
      <c r="B28" s="6" t="inlineStr">
        <is>
          <t>Mon</t>
        </is>
      </c>
      <c r="C28" s="6" t="inlineStr">
        <is>
          <t>Mortgage</t>
        </is>
      </c>
      <c r="D28" s="6" t="inlineStr">
        <is>
          <t>1 Secured/critical</t>
        </is>
      </c>
      <c r="E28" s="6" t="inlineStr">
        <is>
          <t>biweekly</t>
        </is>
      </c>
      <c r="F28" s="11" t="n">
        <v>1801.62</v>
      </c>
      <c r="G28" s="7" t="n">
        <v>1801.62</v>
      </c>
      <c r="H28" s="6" t="inlineStr">
        <is>
          <t>Stated amount</t>
        </is>
      </c>
      <c r="I28" s="12" t="inlineStr">
        <is>
          <t>FIXED</t>
        </is>
      </c>
      <c r="J28" s="6" t="inlineStr">
        <is>
          <t>no</t>
        </is>
      </c>
      <c r="K28" s="6" t="inlineStr"/>
    </row>
    <row r="29">
      <c r="A29" s="5" t="n">
        <v>46552</v>
      </c>
      <c r="B29" s="6" t="inlineStr">
        <is>
          <t>Mon</t>
        </is>
      </c>
      <c r="C29" s="6" t="inlineStr">
        <is>
          <t>Home Depot</t>
        </is>
      </c>
      <c r="D29" s="6" t="inlineStr">
        <is>
          <t>5 Discretionary</t>
        </is>
      </c>
      <c r="E29" s="6" t="inlineStr">
        <is>
          <t>monthly</t>
        </is>
      </c>
      <c r="F29" s="11" t="n">
        <v>100</v>
      </c>
      <c r="G29" s="7" t="n">
        <v>100</v>
      </c>
      <c r="H29" s="6" t="inlineStr">
        <is>
          <t>Stated amount</t>
        </is>
      </c>
      <c r="I29" s="6" t="inlineStr">
        <is>
          <t>UNKNOWN</t>
        </is>
      </c>
      <c r="J29" s="6" t="inlineStr">
        <is>
          <t>yes</t>
        </is>
      </c>
      <c r="K29" s="6" t="inlineStr">
        <is>
          <t>32.70 - 100.00</t>
        </is>
      </c>
    </row>
    <row r="30">
      <c r="A30" s="5" t="n">
        <v>46553</v>
      </c>
      <c r="B30" s="6" t="inlineStr">
        <is>
          <t>Tue</t>
        </is>
      </c>
      <c r="C30" s="6" t="inlineStr">
        <is>
          <t>Loew &amp; Patel braces</t>
        </is>
      </c>
      <c r="D30" s="6" t="inlineStr">
        <is>
          <t>4 Scheduled</t>
        </is>
      </c>
      <c r="E30" s="6" t="inlineStr">
        <is>
          <t>monthly</t>
        </is>
      </c>
      <c r="F30" s="11" t="n">
        <v>400</v>
      </c>
      <c r="G30" s="7" t="n">
        <v>400</v>
      </c>
      <c r="H30" s="6" t="inlineStr">
        <is>
          <t>Stated amount</t>
        </is>
      </c>
      <c r="I30" s="6" t="inlineStr">
        <is>
          <t>UNKNOWN</t>
        </is>
      </c>
      <c r="J30" s="6" t="inlineStr">
        <is>
          <t>no</t>
        </is>
      </c>
      <c r="K30" s="6" t="inlineStr">
        <is>
          <t>15.00 - 0.00</t>
        </is>
      </c>
    </row>
    <row r="31">
      <c r="A31" s="5" t="n">
        <v>46553</v>
      </c>
      <c r="B31" s="6" t="inlineStr">
        <is>
          <t>Tue</t>
        </is>
      </c>
      <c r="C31" s="6" t="inlineStr">
        <is>
          <t>Upstart debt consol</t>
        </is>
      </c>
      <c r="D31" s="6" t="inlineStr">
        <is>
          <t>3 Required debt</t>
        </is>
      </c>
      <c r="E31" s="6" t="inlineStr">
        <is>
          <t>monthly</t>
        </is>
      </c>
      <c r="F31" s="11" t="n">
        <v>161</v>
      </c>
      <c r="G31" s="7" t="n">
        <v>161</v>
      </c>
      <c r="H31" s="6" t="inlineStr">
        <is>
          <t>Stated amount</t>
        </is>
      </c>
      <c r="I31" s="12" t="inlineStr">
        <is>
          <t>FIXED</t>
        </is>
      </c>
      <c r="J31" s="6" t="inlineStr">
        <is>
          <t>yes</t>
        </is>
      </c>
      <c r="K31" s="6" t="inlineStr"/>
    </row>
    <row r="32">
      <c r="A32" s="5" t="n">
        <v>46555</v>
      </c>
      <c r="B32" s="6" t="inlineStr">
        <is>
          <t>Thu</t>
        </is>
      </c>
      <c r="C32" s="6" t="inlineStr">
        <is>
          <t>Capital One CC</t>
        </is>
      </c>
      <c r="D32" s="6" t="inlineStr">
        <is>
          <t>3 Required debt</t>
        </is>
      </c>
      <c r="E32" s="6" t="inlineStr">
        <is>
          <t>monthly</t>
        </is>
      </c>
      <c r="F32" s="11" t="n">
        <v>163</v>
      </c>
      <c r="G32" s="7" t="n">
        <v>105</v>
      </c>
      <c r="H32" s="14" t="inlineStr">
        <is>
          <t>SUPERSEDED - see notes</t>
        </is>
      </c>
      <c r="I32" s="6" t="inlineStr">
        <is>
          <t>UNKNOWN</t>
        </is>
      </c>
      <c r="J32" s="6" t="inlineStr">
        <is>
          <t>yes</t>
        </is>
      </c>
      <c r="K32" s="6" t="inlineStr">
        <is>
          <t>154.00 - 163.00</t>
        </is>
      </c>
    </row>
    <row r="33">
      <c r="A33" s="5" t="n">
        <v>46555</v>
      </c>
      <c r="B33" s="6" t="inlineStr">
        <is>
          <t>Thu</t>
        </is>
      </c>
      <c r="C33" s="6" t="inlineStr">
        <is>
          <t>Chase CC Amazon</t>
        </is>
      </c>
      <c r="D33" s="6" t="inlineStr">
        <is>
          <t>3 Required debt</t>
        </is>
      </c>
      <c r="E33" s="6" t="inlineStr">
        <is>
          <t>monthly</t>
        </is>
      </c>
      <c r="F33" s="11" t="n">
        <v>136</v>
      </c>
      <c r="G33" s="7" t="n">
        <v>80</v>
      </c>
      <c r="H33" s="14" t="inlineStr">
        <is>
          <t>SUPERSEDED - see notes</t>
        </is>
      </c>
      <c r="I33" s="6" t="inlineStr">
        <is>
          <t>UNKNOWN</t>
        </is>
      </c>
      <c r="J33" s="6" t="inlineStr">
        <is>
          <t>yes</t>
        </is>
      </c>
      <c r="K33" s="6" t="inlineStr">
        <is>
          <t>124.00 - 136.00</t>
        </is>
      </c>
    </row>
    <row r="34">
      <c r="A34" s="5" t="n">
        <v>46556</v>
      </c>
      <c r="B34" s="6" t="inlineStr">
        <is>
          <t>Fri</t>
        </is>
      </c>
      <c r="C34" s="6" t="inlineStr">
        <is>
          <t>CCU car loan</t>
        </is>
      </c>
      <c r="D34" s="6" t="inlineStr">
        <is>
          <t>1 Secured/critical</t>
        </is>
      </c>
      <c r="E34" s="6" t="inlineStr">
        <is>
          <t>monthly</t>
        </is>
      </c>
      <c r="F34" s="11" t="n">
        <v>306.9</v>
      </c>
      <c r="G34" s="7" t="n">
        <v>306.9</v>
      </c>
      <c r="H34" s="6" t="inlineStr">
        <is>
          <t>Stated amount</t>
        </is>
      </c>
      <c r="I34" s="12" t="inlineStr">
        <is>
          <t>FIXED</t>
        </is>
      </c>
      <c r="J34" s="6" t="inlineStr">
        <is>
          <t>yes</t>
        </is>
      </c>
      <c r="K34" s="6" t="inlineStr"/>
    </row>
    <row r="35">
      <c r="A35" s="5" t="n">
        <v>46556</v>
      </c>
      <c r="B35" s="6" t="inlineStr">
        <is>
          <t>Fri</t>
        </is>
      </c>
      <c r="C35" s="6" t="inlineStr">
        <is>
          <t>Comcast</t>
        </is>
      </c>
      <c r="D35" s="6" t="inlineStr">
        <is>
          <t>2 Essential</t>
        </is>
      </c>
      <c r="E35" s="6" t="inlineStr">
        <is>
          <t>monthly</t>
        </is>
      </c>
      <c r="F35" s="11" t="n">
        <v>138.93</v>
      </c>
      <c r="G35" s="7" t="n">
        <v>138.93</v>
      </c>
      <c r="H35" s="6" t="inlineStr">
        <is>
          <t>Stated amount</t>
        </is>
      </c>
      <c r="I35" s="6" t="inlineStr">
        <is>
          <t>UNKNOWN</t>
        </is>
      </c>
      <c r="J35" s="6" t="inlineStr">
        <is>
          <t>yes</t>
        </is>
      </c>
      <c r="K35" s="6" t="inlineStr"/>
    </row>
    <row r="36">
      <c r="A36" s="5" t="n">
        <v>46556</v>
      </c>
      <c r="B36" s="6" t="inlineStr">
        <is>
          <t>Fri</t>
        </is>
      </c>
      <c r="C36" s="6" t="inlineStr">
        <is>
          <t>Lowes</t>
        </is>
      </c>
      <c r="D36" s="6" t="inlineStr">
        <is>
          <t>5 Discretionary</t>
        </is>
      </c>
      <c r="E36" s="6" t="inlineStr">
        <is>
          <t>monthly</t>
        </is>
      </c>
      <c r="F36" s="11" t="n">
        <v>126</v>
      </c>
      <c r="G36" s="7" t="n">
        <v>69</v>
      </c>
      <c r="H36" s="14" t="inlineStr">
        <is>
          <t>SUPERSEDED - see notes</t>
        </is>
      </c>
      <c r="I36" s="6" t="inlineStr">
        <is>
          <t>UNKNOWN</t>
        </is>
      </c>
      <c r="J36" s="6" t="inlineStr">
        <is>
          <t>yes</t>
        </is>
      </c>
      <c r="K36" s="6" t="inlineStr">
        <is>
          <t>122.00 - 126.00</t>
        </is>
      </c>
    </row>
    <row r="37">
      <c r="A37" s="5" t="n">
        <v>46556</v>
      </c>
      <c r="B37" s="6" t="inlineStr">
        <is>
          <t>Fri</t>
        </is>
      </c>
      <c r="C37" s="6" t="inlineStr">
        <is>
          <t>Upgrade basement</t>
        </is>
      </c>
      <c r="D37" s="6" t="inlineStr">
        <is>
          <t>3 Required debt</t>
        </is>
      </c>
      <c r="E37" s="6" t="inlineStr">
        <is>
          <t>monthly</t>
        </is>
      </c>
      <c r="F37" s="11" t="n">
        <v>86.36</v>
      </c>
      <c r="G37" s="7" t="n">
        <v>86.36</v>
      </c>
      <c r="H37" s="6" t="inlineStr">
        <is>
          <t>Stated amount</t>
        </is>
      </c>
      <c r="I37" s="12" t="inlineStr">
        <is>
          <t>FIXED</t>
        </is>
      </c>
      <c r="J37" s="6" t="inlineStr">
        <is>
          <t>yes</t>
        </is>
      </c>
      <c r="K37" s="6" t="inlineStr"/>
    </row>
    <row r="38">
      <c r="A38" s="5" t="n">
        <v>46557</v>
      </c>
      <c r="B38" s="6" t="inlineStr">
        <is>
          <t>Sat</t>
        </is>
      </c>
      <c r="C38" s="6" t="inlineStr">
        <is>
          <t>Town of Clinton water</t>
        </is>
      </c>
      <c r="D38" s="6" t="inlineStr">
        <is>
          <t>2 Essential</t>
        </is>
      </c>
      <c r="E38" s="6" t="inlineStr">
        <is>
          <t>quarterly</t>
        </is>
      </c>
      <c r="F38" s="11" t="n">
        <v>873.53</v>
      </c>
      <c r="G38" s="7" t="n">
        <v>294.03</v>
      </c>
      <c r="H38" s="14" t="inlineStr">
        <is>
          <t>SUPERSEDED - see notes</t>
        </is>
      </c>
      <c r="I38" s="12" t="inlineStr">
        <is>
          <t>FIXED</t>
        </is>
      </c>
      <c r="J38" s="6" t="inlineStr">
        <is>
          <t>no</t>
        </is>
      </c>
      <c r="K38" s="6" t="inlineStr">
        <is>
          <t>0.00 - 873.53</t>
        </is>
      </c>
    </row>
    <row r="39">
      <c r="A39" s="5" t="n">
        <v>46557</v>
      </c>
      <c r="B39" s="6" t="inlineStr">
        <is>
          <t>Sat</t>
        </is>
      </c>
      <c r="C39" s="6" t="inlineStr">
        <is>
          <t>IRS state</t>
        </is>
      </c>
      <c r="D39" s="6" t="inlineStr">
        <is>
          <t>2 Essential</t>
        </is>
      </c>
      <c r="E39" s="6" t="inlineStr">
        <is>
          <t>monthly</t>
        </is>
      </c>
      <c r="F39" s="11" t="n">
        <v>114</v>
      </c>
      <c r="G39" s="7" t="n">
        <v>114</v>
      </c>
      <c r="H39" s="6" t="inlineStr">
        <is>
          <t>Stated amount</t>
        </is>
      </c>
      <c r="I39" s="12" t="inlineStr">
        <is>
          <t>FIXED</t>
        </is>
      </c>
      <c r="J39" s="6" t="inlineStr">
        <is>
          <t>no</t>
        </is>
      </c>
      <c r="K39" s="6" t="inlineStr"/>
    </row>
    <row r="40">
      <c r="A40" s="5" t="n">
        <v>46557</v>
      </c>
      <c r="B40" s="6" t="inlineStr">
        <is>
          <t>Sat</t>
        </is>
      </c>
      <c r="C40" s="6" t="inlineStr">
        <is>
          <t>IRS federal</t>
        </is>
      </c>
      <c r="D40" s="6" t="inlineStr">
        <is>
          <t>2 Essential</t>
        </is>
      </c>
      <c r="E40" s="6" t="inlineStr">
        <is>
          <t>monthly</t>
        </is>
      </c>
      <c r="F40" s="11" t="n">
        <v>103</v>
      </c>
      <c r="G40" s="7" t="n">
        <v>103</v>
      </c>
      <c r="H40" s="6" t="inlineStr">
        <is>
          <t>Stated amount</t>
        </is>
      </c>
      <c r="I40" s="12" t="inlineStr">
        <is>
          <t>FIXED</t>
        </is>
      </c>
      <c r="J40" s="6" t="inlineStr">
        <is>
          <t>no</t>
        </is>
      </c>
      <c r="K40" s="6" t="inlineStr"/>
    </row>
    <row r="41">
      <c r="A41" s="5" t="n">
        <v>46558</v>
      </c>
      <c r="B41" s="6" t="inlineStr">
        <is>
          <t>Sun</t>
        </is>
      </c>
      <c r="C41" s="6" t="inlineStr">
        <is>
          <t>Groceries</t>
        </is>
      </c>
      <c r="D41" s="6" t="inlineStr">
        <is>
          <t>2 Essential</t>
        </is>
      </c>
      <c r="E41" s="6" t="inlineStr">
        <is>
          <t>weekly</t>
        </is>
      </c>
      <c r="F41" s="11" t="n">
        <v>319.09</v>
      </c>
      <c r="G41" s="7" t="n">
        <v>319.09</v>
      </c>
      <c r="H41" s="6" t="inlineStr">
        <is>
          <t>Stated amount</t>
        </is>
      </c>
      <c r="I41" s="12" t="inlineStr">
        <is>
          <t>FIXED</t>
        </is>
      </c>
      <c r="J41" s="6" t="inlineStr">
        <is>
          <t>no</t>
        </is>
      </c>
      <c r="K41" s="6" t="inlineStr">
        <is>
          <t>12.78 - 791.32</t>
        </is>
      </c>
    </row>
    <row r="42">
      <c r="A42" s="5" t="n">
        <v>46558</v>
      </c>
      <c r="B42" s="6" t="inlineStr">
        <is>
          <t>Sun</t>
        </is>
      </c>
      <c r="C42" s="6" t="inlineStr">
        <is>
          <t>Fuel</t>
        </is>
      </c>
      <c r="D42" s="6" t="inlineStr">
        <is>
          <t>2 Essential</t>
        </is>
      </c>
      <c r="E42" s="6" t="inlineStr">
        <is>
          <t>weekly</t>
        </is>
      </c>
      <c r="F42" s="11" t="n">
        <v>90.77</v>
      </c>
      <c r="G42" s="7" t="n">
        <v>90.77</v>
      </c>
      <c r="H42" s="6" t="inlineStr">
        <is>
          <t>Stated amount</t>
        </is>
      </c>
      <c r="I42" s="12" t="inlineStr">
        <is>
          <t>FIXED</t>
        </is>
      </c>
      <c r="J42" s="6" t="inlineStr">
        <is>
          <t>no</t>
        </is>
      </c>
      <c r="K42" s="6" t="inlineStr">
        <is>
          <t>20.00 - 447.12</t>
        </is>
      </c>
    </row>
    <row r="43">
      <c r="A43" s="5" t="n">
        <v>46560</v>
      </c>
      <c r="B43" s="6" t="inlineStr">
        <is>
          <t>Tue</t>
        </is>
      </c>
      <c r="C43" s="6" t="inlineStr">
        <is>
          <t>Chase CC United</t>
        </is>
      </c>
      <c r="D43" s="6" t="inlineStr">
        <is>
          <t>3 Required debt</t>
        </is>
      </c>
      <c r="E43" s="6" t="inlineStr">
        <is>
          <t>monthly</t>
        </is>
      </c>
      <c r="F43" s="11" t="n">
        <v>88</v>
      </c>
      <c r="G43" s="7" t="n">
        <v>46</v>
      </c>
      <c r="H43" s="14" t="inlineStr">
        <is>
          <t>SUPERSEDED - see notes</t>
        </is>
      </c>
      <c r="I43" s="6" t="inlineStr">
        <is>
          <t>UNKNOWN</t>
        </is>
      </c>
      <c r="J43" s="6" t="inlineStr">
        <is>
          <t>yes</t>
        </is>
      </c>
      <c r="K43" s="6" t="inlineStr">
        <is>
          <t>76.00 - 88.00</t>
        </is>
      </c>
    </row>
    <row r="44">
      <c r="A44" s="5" t="n">
        <v>46561</v>
      </c>
      <c r="B44" s="6" t="inlineStr">
        <is>
          <t>Wed</t>
        </is>
      </c>
      <c r="C44" s="6" t="inlineStr">
        <is>
          <t>Netflix</t>
        </is>
      </c>
      <c r="D44" s="6" t="inlineStr">
        <is>
          <t>5 Discretionary</t>
        </is>
      </c>
      <c r="E44" s="6" t="inlineStr">
        <is>
          <t>monthly</t>
        </is>
      </c>
      <c r="F44" s="11" t="n">
        <v>21.31</v>
      </c>
      <c r="G44" s="7" t="n">
        <v>21.31</v>
      </c>
      <c r="H44" s="6" t="inlineStr">
        <is>
          <t>Stated amount</t>
        </is>
      </c>
      <c r="I44" s="6" t="inlineStr">
        <is>
          <t>UNKNOWN</t>
        </is>
      </c>
      <c r="J44" s="6" t="inlineStr">
        <is>
          <t>yes</t>
        </is>
      </c>
      <c r="K44" s="6" t="inlineStr"/>
    </row>
    <row r="45">
      <c r="A45" s="5" t="n">
        <v>46562</v>
      </c>
      <c r="B45" s="6" t="inlineStr">
        <is>
          <t>Thu</t>
        </is>
      </c>
      <c r="C45" s="6" t="inlineStr">
        <is>
          <t>Kia</t>
        </is>
      </c>
      <c r="D45" s="6" t="inlineStr">
        <is>
          <t>1 Secured/critical</t>
        </is>
      </c>
      <c r="E45" s="6" t="inlineStr">
        <is>
          <t>monthly</t>
        </is>
      </c>
      <c r="F45" s="11" t="n">
        <v>742.65</v>
      </c>
      <c r="G45" s="7" t="n">
        <v>742.65</v>
      </c>
      <c r="H45" s="6" t="inlineStr">
        <is>
          <t>Stated amount</t>
        </is>
      </c>
      <c r="I45" s="12" t="inlineStr">
        <is>
          <t>FIXED</t>
        </is>
      </c>
      <c r="J45" s="6" t="inlineStr">
        <is>
          <t>yes</t>
        </is>
      </c>
      <c r="K45" s="6" t="inlineStr"/>
    </row>
    <row r="46">
      <c r="A46" s="5" t="n">
        <v>46562</v>
      </c>
      <c r="B46" s="6" t="inlineStr">
        <is>
          <t>Thu</t>
        </is>
      </c>
      <c r="C46" s="6" t="inlineStr">
        <is>
          <t>Upstart past bills (from Sep)</t>
        </is>
      </c>
      <c r="D46" s="6" t="inlineStr">
        <is>
          <t>3 Required debt</t>
        </is>
      </c>
      <c r="E46" s="6" t="inlineStr">
        <is>
          <t>monthly</t>
        </is>
      </c>
      <c r="F46" s="11" t="n">
        <v>337.61</v>
      </c>
      <c r="G46" s="7" t="n">
        <v>337.61</v>
      </c>
      <c r="H46" s="6" t="inlineStr">
        <is>
          <t>Stated amount</t>
        </is>
      </c>
      <c r="I46" s="12" t="inlineStr">
        <is>
          <t>FIXED</t>
        </is>
      </c>
      <c r="J46" s="6" t="inlineStr">
        <is>
          <t>yes</t>
        </is>
      </c>
      <c r="K46" s="6" t="inlineStr"/>
    </row>
    <row r="47">
      <c r="A47" s="5" t="n">
        <v>46565</v>
      </c>
      <c r="B47" s="6" t="inlineStr">
        <is>
          <t>Sun</t>
        </is>
      </c>
      <c r="C47" s="6" t="inlineStr">
        <is>
          <t>Groceries</t>
        </is>
      </c>
      <c r="D47" s="6" t="inlineStr">
        <is>
          <t>2 Essential</t>
        </is>
      </c>
      <c r="E47" s="6" t="inlineStr">
        <is>
          <t>weekly</t>
        </is>
      </c>
      <c r="F47" s="11" t="n">
        <v>319.09</v>
      </c>
      <c r="G47" s="7" t="n">
        <v>319.09</v>
      </c>
      <c r="H47" s="6" t="inlineStr">
        <is>
          <t>Stated amount</t>
        </is>
      </c>
      <c r="I47" s="12" t="inlineStr">
        <is>
          <t>FIXED</t>
        </is>
      </c>
      <c r="J47" s="6" t="inlineStr">
        <is>
          <t>no</t>
        </is>
      </c>
      <c r="K47" s="6" t="inlineStr">
        <is>
          <t>12.78 - 791.32</t>
        </is>
      </c>
    </row>
    <row r="48">
      <c r="A48" s="5" t="n">
        <v>46565</v>
      </c>
      <c r="B48" s="6" t="inlineStr">
        <is>
          <t>Sun</t>
        </is>
      </c>
      <c r="C48" s="6" t="inlineStr">
        <is>
          <t>Fuel</t>
        </is>
      </c>
      <c r="D48" s="6" t="inlineStr">
        <is>
          <t>2 Essential</t>
        </is>
      </c>
      <c r="E48" s="6" t="inlineStr">
        <is>
          <t>weekly</t>
        </is>
      </c>
      <c r="F48" s="11" t="n">
        <v>90.77</v>
      </c>
      <c r="G48" s="7" t="n">
        <v>90.77</v>
      </c>
      <c r="H48" s="6" t="inlineStr">
        <is>
          <t>Stated amount</t>
        </is>
      </c>
      <c r="I48" s="12" t="inlineStr">
        <is>
          <t>FIXED</t>
        </is>
      </c>
      <c r="J48" s="6" t="inlineStr">
        <is>
          <t>no</t>
        </is>
      </c>
      <c r="K48" s="6" t="inlineStr">
        <is>
          <t>20.00 - 447.12</t>
        </is>
      </c>
    </row>
    <row r="49">
      <c r="A49" s="5" t="n">
        <v>46565</v>
      </c>
      <c r="B49" s="6" t="inlineStr">
        <is>
          <t>Sun</t>
        </is>
      </c>
      <c r="C49" s="6" t="inlineStr">
        <is>
          <t>Barclay Old Navy</t>
        </is>
      </c>
      <c r="D49" s="6" t="inlineStr">
        <is>
          <t>3 Required debt</t>
        </is>
      </c>
      <c r="E49" s="6" t="inlineStr">
        <is>
          <t>monthly</t>
        </is>
      </c>
      <c r="F49" s="11" t="n">
        <v>84.78</v>
      </c>
      <c r="G49" s="7" t="n">
        <v>60.74</v>
      </c>
      <c r="H49" s="13" t="inlineStr">
        <is>
          <t>Forecast at worst seen</t>
        </is>
      </c>
      <c r="I49" s="6" t="inlineStr">
        <is>
          <t>UNKNOWN</t>
        </is>
      </c>
      <c r="J49" s="6" t="inlineStr">
        <is>
          <t>yes</t>
        </is>
      </c>
      <c r="K49" s="6" t="inlineStr">
        <is>
          <t>52.98 - 84.78</t>
        </is>
      </c>
    </row>
    <row r="50">
      <c r="A50" s="5" t="n">
        <v>46566</v>
      </c>
      <c r="B50" s="6" t="inlineStr">
        <is>
          <t>Mon</t>
        </is>
      </c>
      <c r="C50" s="6" t="inlineStr">
        <is>
          <t>Mortgage</t>
        </is>
      </c>
      <c r="D50" s="6" t="inlineStr">
        <is>
          <t>1 Secured/critical</t>
        </is>
      </c>
      <c r="E50" s="6" t="inlineStr">
        <is>
          <t>biweekly</t>
        </is>
      </c>
      <c r="F50" s="11" t="n">
        <v>1801.62</v>
      </c>
      <c r="G50" s="7" t="n">
        <v>1801.62</v>
      </c>
      <c r="H50" s="6" t="inlineStr">
        <is>
          <t>Stated amount</t>
        </is>
      </c>
      <c r="I50" s="12" t="inlineStr">
        <is>
          <t>FIXED</t>
        </is>
      </c>
      <c r="J50" s="6" t="inlineStr">
        <is>
          <t>no</t>
        </is>
      </c>
      <c r="K50" s="6" t="inlineStr"/>
    </row>
    <row r="51">
      <c r="A51" s="5" t="n">
        <v>46567</v>
      </c>
      <c r="B51" s="6" t="inlineStr">
        <is>
          <t>Tue</t>
        </is>
      </c>
      <c r="C51" s="6" t="inlineStr">
        <is>
          <t>Xfinity Mobile</t>
        </is>
      </c>
      <c r="D51" s="6" t="inlineStr">
        <is>
          <t>2 Essential</t>
        </is>
      </c>
      <c r="E51" s="6" t="inlineStr">
        <is>
          <t>monthly</t>
        </is>
      </c>
      <c r="F51" s="11" t="n">
        <v>88.81999999999999</v>
      </c>
      <c r="G51" s="7" t="n">
        <v>88.81999999999999</v>
      </c>
      <c r="H51" s="6" t="inlineStr">
        <is>
          <t>Stated amount</t>
        </is>
      </c>
      <c r="I51" s="6" t="inlineStr">
        <is>
          <t>UNKNOWN</t>
        </is>
      </c>
      <c r="J51" s="6" t="inlineStr">
        <is>
          <t>yes</t>
        </is>
      </c>
      <c r="K51" s="6" t="inlineStr"/>
    </row>
    <row r="52">
      <c r="A52" s="5" t="n">
        <v>46567</v>
      </c>
      <c r="B52" s="6" t="inlineStr">
        <is>
          <t>Tue</t>
        </is>
      </c>
      <c r="C52" s="6" t="inlineStr">
        <is>
          <t>Affirm</t>
        </is>
      </c>
      <c r="D52" s="6" t="inlineStr">
        <is>
          <t>3 Required debt</t>
        </is>
      </c>
      <c r="E52" s="6" t="inlineStr">
        <is>
          <t>monthly</t>
        </is>
      </c>
      <c r="F52" s="11" t="n">
        <v>73.06999999999999</v>
      </c>
      <c r="G52" s="7" t="n">
        <v>73.06999999999999</v>
      </c>
      <c r="H52" s="6" t="inlineStr">
        <is>
          <t>Stated amount</t>
        </is>
      </c>
      <c r="I52" s="6" t="inlineStr">
        <is>
          <t>UNKNOWN</t>
        </is>
      </c>
      <c r="J52" s="6" t="inlineStr">
        <is>
          <t>yes</t>
        </is>
      </c>
      <c r="K52" s="6" t="inlineStr"/>
    </row>
    <row r="53">
      <c r="A53" s="8" t="n"/>
      <c r="B53" s="8" t="n"/>
      <c r="C53" s="9" t="inlineStr">
        <is>
          <t>Total money out</t>
        </is>
      </c>
      <c r="D53" s="8" t="n"/>
      <c r="E53" s="8" t="n"/>
      <c r="F53" s="10">
        <f>SUM(F15:F52)</f>
        <v/>
      </c>
      <c r="G53" s="10">
        <f>SUM(G15:G52)</f>
        <v/>
      </c>
      <c r="H53" s="8" t="n"/>
      <c r="I53" s="8" t="n"/>
      <c r="J53" s="8" t="n"/>
      <c r="K53" s="8" t="n"/>
    </row>
    <row r="55">
      <c r="A55" s="3" t="inlineStr">
        <is>
          <t>MONTH SUMMARY</t>
        </is>
      </c>
    </row>
    <row r="56">
      <c r="C56" s="6" t="inlineStr">
        <is>
          <t>Money in</t>
        </is>
      </c>
      <c r="D56" s="15" t="n"/>
      <c r="E56" s="15" t="n"/>
      <c r="F56" s="16">
        <f>E11</f>
        <v/>
      </c>
    </row>
    <row r="57">
      <c r="C57" s="6" t="inlineStr">
        <is>
          <t>Money out (budget)</t>
        </is>
      </c>
      <c r="D57" s="15" t="n"/>
      <c r="E57" s="15" t="n"/>
      <c r="F57" s="16">
        <f>F53</f>
        <v/>
      </c>
    </row>
    <row r="58">
      <c r="C58" s="9" t="inlineStr">
        <is>
          <t>Net for the month</t>
        </is>
      </c>
      <c r="D58" s="8" t="n"/>
      <c r="E58" s="8" t="n"/>
      <c r="F58" s="10">
        <f>E11-F53</f>
        <v/>
      </c>
    </row>
    <row r="59">
      <c r="C59" s="6" t="inlineStr">
        <is>
          <t>Money out at stored amounts</t>
        </is>
      </c>
      <c r="D59" s="15" t="n"/>
      <c r="E59" s="15" t="n"/>
      <c r="F59" s="16">
        <f>G53</f>
        <v/>
      </c>
    </row>
    <row r="60">
      <c r="C60" s="6" t="inlineStr">
        <is>
          <t>Over-forecast vs stored</t>
        </is>
      </c>
      <c r="D60" s="15" t="n"/>
      <c r="E60" s="15" t="n"/>
      <c r="F60" s="16">
        <f>F53-G53</f>
        <v/>
      </c>
    </row>
    <row r="62">
      <c r="A62" s="3" t="inlineStr">
        <is>
          <t>NOTES AND ASSUMPTIONS</t>
        </is>
      </c>
    </row>
    <row r="63">
      <c r="A63" s="17" t="inlineStr">
        <is>
          <t>- INCOME SWITCHED OFF: Branchburg BOE payroll (2,829.31 biweekly) is recorded in income.json but NOT counted anywhere in this workbook. If it is actually being received, every monthly net figure here is understated by that amount.</t>
        </is>
      </c>
    </row>
    <row r="64">
      <c r="A64" s="17" t="inlineStr">
        <is>
          <t>- Budget vs Stored: 'Budget' is what the engine forecasts for that date; 'Stored' is the figure recorded in bills.json.</t>
        </is>
      </c>
    </row>
    <row r="65">
      <c r="A65" s="17" t="inlineStr">
        <is>
          <t>- Seasonal profile: gas and electric carry a month-of-year profile built from recent years of statements, so their budget figure changes every month. Neither figure is wrong.</t>
        </is>
      </c>
    </row>
    <row r="66">
      <c r="A66" s="17" t="inlineStr">
        <is>
          <t>- Forecast at worst seen: a variable bill landing monthly or less often is budgeted at the top of its observed range, deliberately, because under-forecasting an outflow is what causes an overdraft.</t>
        </is>
      </c>
    </row>
    <row r="67">
      <c r="A67" s="17" t="inlineStr">
        <is>
          <t>- SUPERSEDED: the engine is forecasting ABOVE an amount the household renegotiated, because the observed maximum predates the correction. Affects four cards and the water bill. This is a defect, not a rule - the Stored column is the agreed figure.</t>
        </is>
      </c>
    </row>
    <row r="68">
      <c r="A68" s="17" t="inlineStr">
        <is>
          <t>- Movability: FIXED means secured or recorded as non-deferrable. UNKNOWN means nothing records how late the payment may safely be, so no date change can be recommended without confirming it.</t>
        </is>
      </c>
    </row>
    <row r="69">
      <c r="A69" s="17" t="inlineStr">
        <is>
          <t>- Weekly items (groceries, fuel) appear once per occurrence, so a five-week month legitimately shows five rows.</t>
        </is>
      </c>
    </row>
    <row r="70">
      <c r="A70" s="17" t="inlineStr">
        <is>
          <t>- Excluded as ended or paid off, kept for history: Affirm large, Trilogy Lacrosse.</t>
        </is>
      </c>
    </row>
  </sheetData>
  <mergeCells count="10">
    <mergeCell ref="A69:K69"/>
    <mergeCell ref="A64:K64"/>
    <mergeCell ref="A65:K65"/>
    <mergeCell ref="A2:K2"/>
    <mergeCell ref="A63:K63"/>
    <mergeCell ref="A68:K68"/>
    <mergeCell ref="A66:K66"/>
    <mergeCell ref="A1:K1"/>
    <mergeCell ref="A70:K70"/>
    <mergeCell ref="A67:K67"/>
  </mergeCell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1:K68"/>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July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46575</v>
      </c>
      <c r="B6" s="6" t="inlineStr">
        <is>
          <t>Wed</t>
        </is>
      </c>
      <c r="C6" s="6" t="inlineStr">
        <is>
          <t>Insight Global payroll</t>
        </is>
      </c>
      <c r="D6" s="6" t="inlineStr">
        <is>
          <t>weekly</t>
        </is>
      </c>
      <c r="E6" s="7" t="n">
        <v>2016.06</v>
      </c>
      <c r="F6" s="6" t="inlineStr">
        <is>
          <t>UNVERIFIED - flagged needs_review</t>
        </is>
      </c>
    </row>
    <row r="7">
      <c r="A7" s="5" t="n">
        <v>46582</v>
      </c>
      <c r="B7" s="6" t="inlineStr">
        <is>
          <t>Wed</t>
        </is>
      </c>
      <c r="C7" s="6" t="inlineStr">
        <is>
          <t>Insight Global payroll</t>
        </is>
      </c>
      <c r="D7" s="6" t="inlineStr">
        <is>
          <t>weekly</t>
        </is>
      </c>
      <c r="E7" s="7" t="n">
        <v>2016.06</v>
      </c>
      <c r="F7" s="6" t="inlineStr">
        <is>
          <t>UNVERIFIED - flagged needs_review</t>
        </is>
      </c>
    </row>
    <row r="8">
      <c r="A8" s="5" t="n">
        <v>46589</v>
      </c>
      <c r="B8" s="6" t="inlineStr">
        <is>
          <t>Wed</t>
        </is>
      </c>
      <c r="C8" s="6" t="inlineStr">
        <is>
          <t>Insight Global payroll</t>
        </is>
      </c>
      <c r="D8" s="6" t="inlineStr">
        <is>
          <t>weekly</t>
        </is>
      </c>
      <c r="E8" s="7" t="n">
        <v>2016.06</v>
      </c>
      <c r="F8" s="6" t="inlineStr">
        <is>
          <t>UNVERIFIED - flagged needs_review</t>
        </is>
      </c>
    </row>
    <row r="9">
      <c r="A9" s="5" t="n">
        <v>46596</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46571</v>
      </c>
      <c r="B14" s="6" t="inlineStr">
        <is>
          <t>Sat</t>
        </is>
      </c>
      <c r="C14" s="6" t="inlineStr">
        <is>
          <t>JCP&amp;L / FirstEnergy</t>
        </is>
      </c>
      <c r="D14" s="6" t="inlineStr">
        <is>
          <t>2 Essential</t>
        </is>
      </c>
      <c r="E14" s="6" t="inlineStr">
        <is>
          <t>monthly</t>
        </is>
      </c>
      <c r="F14" s="11" t="n">
        <v>283.5</v>
      </c>
      <c r="G14" s="7" t="n">
        <v>418.98</v>
      </c>
      <c r="H14" s="6" t="inlineStr">
        <is>
          <t>Seasonal profile</t>
        </is>
      </c>
      <c r="I14" s="12" t="inlineStr">
        <is>
          <t>FIXED</t>
        </is>
      </c>
      <c r="J14" s="6" t="inlineStr">
        <is>
          <t>no</t>
        </is>
      </c>
      <c r="K14" s="6" t="inlineStr">
        <is>
          <t>130.28 - 489.87</t>
        </is>
      </c>
    </row>
    <row r="15">
      <c r="A15" s="5" t="n">
        <v>46572</v>
      </c>
      <c r="B15" s="6" t="inlineStr">
        <is>
          <t>Sun</t>
        </is>
      </c>
      <c r="C15" s="6" t="inlineStr">
        <is>
          <t>Groceries</t>
        </is>
      </c>
      <c r="D15" s="6" t="inlineStr">
        <is>
          <t>2 Essential</t>
        </is>
      </c>
      <c r="E15" s="6" t="inlineStr">
        <is>
          <t>weekly</t>
        </is>
      </c>
      <c r="F15" s="11" t="n">
        <v>319.09</v>
      </c>
      <c r="G15" s="7" t="n">
        <v>319.09</v>
      </c>
      <c r="H15" s="6" t="inlineStr">
        <is>
          <t>Stated amount</t>
        </is>
      </c>
      <c r="I15" s="12" t="inlineStr">
        <is>
          <t>FIXED</t>
        </is>
      </c>
      <c r="J15" s="6" t="inlineStr">
        <is>
          <t>no</t>
        </is>
      </c>
      <c r="K15" s="6" t="inlineStr">
        <is>
          <t>12.78 - 791.32</t>
        </is>
      </c>
    </row>
    <row r="16">
      <c r="A16" s="5" t="n">
        <v>46572</v>
      </c>
      <c r="B16" s="6" t="inlineStr">
        <is>
          <t>Sun</t>
        </is>
      </c>
      <c r="C16" s="6" t="inlineStr">
        <is>
          <t>Culligan</t>
        </is>
      </c>
      <c r="D16" s="6" t="inlineStr">
        <is>
          <t>5 Discretionary</t>
        </is>
      </c>
      <c r="E16" s="6" t="inlineStr">
        <is>
          <t>monthly</t>
        </is>
      </c>
      <c r="F16" s="11" t="n">
        <v>307.7</v>
      </c>
      <c r="G16" s="7" t="n">
        <v>40.39</v>
      </c>
      <c r="H16" s="13" t="inlineStr">
        <is>
          <t>Forecast at worst seen</t>
        </is>
      </c>
      <c r="I16" s="6" t="inlineStr">
        <is>
          <t>UNKNOWN</t>
        </is>
      </c>
      <c r="J16" s="6" t="inlineStr">
        <is>
          <t>no</t>
        </is>
      </c>
      <c r="K16" s="6" t="inlineStr">
        <is>
          <t>40.39 - 307.70</t>
        </is>
      </c>
    </row>
    <row r="17">
      <c r="A17" s="5" t="n">
        <v>46572</v>
      </c>
      <c r="B17" s="6" t="inlineStr">
        <is>
          <t>Sun</t>
        </is>
      </c>
      <c r="C17" s="6" t="inlineStr">
        <is>
          <t>Fuel</t>
        </is>
      </c>
      <c r="D17" s="6" t="inlineStr">
        <is>
          <t>2 Essential</t>
        </is>
      </c>
      <c r="E17" s="6" t="inlineStr">
        <is>
          <t>weekly</t>
        </is>
      </c>
      <c r="F17" s="11" t="n">
        <v>90.77</v>
      </c>
      <c r="G17" s="7" t="n">
        <v>90.77</v>
      </c>
      <c r="H17" s="6" t="inlineStr">
        <is>
          <t>Stated amount</t>
        </is>
      </c>
      <c r="I17" s="12" t="inlineStr">
        <is>
          <t>FIXED</t>
        </is>
      </c>
      <c r="J17" s="6" t="inlineStr">
        <is>
          <t>no</t>
        </is>
      </c>
      <c r="K17" s="6" t="inlineStr">
        <is>
          <t>20.00 - 447.12</t>
        </is>
      </c>
    </row>
    <row r="18">
      <c r="A18" s="5" t="n">
        <v>46572</v>
      </c>
      <c r="B18" s="6" t="inlineStr">
        <is>
          <t>Sun</t>
        </is>
      </c>
      <c r="C18" s="6" t="inlineStr">
        <is>
          <t>TJX Rewards</t>
        </is>
      </c>
      <c r="D18" s="6" t="inlineStr">
        <is>
          <t>5 Discretionary</t>
        </is>
      </c>
      <c r="E18" s="6" t="inlineStr">
        <is>
          <t>monthly</t>
        </is>
      </c>
      <c r="F18" s="11" t="n">
        <v>36</v>
      </c>
      <c r="G18" s="7" t="n">
        <v>36</v>
      </c>
      <c r="H18" s="6" t="inlineStr">
        <is>
          <t>Stated amount</t>
        </is>
      </c>
      <c r="I18" s="6" t="inlineStr">
        <is>
          <t>UNKNOWN</t>
        </is>
      </c>
      <c r="J18" s="6" t="inlineStr">
        <is>
          <t>yes</t>
        </is>
      </c>
      <c r="K18" s="6" t="inlineStr"/>
    </row>
    <row r="19">
      <c r="A19" s="5" t="n">
        <v>46574</v>
      </c>
      <c r="B19" s="6" t="inlineStr">
        <is>
          <t>Tue</t>
        </is>
      </c>
      <c r="C19" s="6" t="inlineStr">
        <is>
          <t>One Main loan</t>
        </is>
      </c>
      <c r="D19" s="6" t="inlineStr">
        <is>
          <t>3 Required debt</t>
        </is>
      </c>
      <c r="E19" s="6" t="inlineStr">
        <is>
          <t>monthly</t>
        </is>
      </c>
      <c r="F19" s="11" t="n">
        <v>388.24</v>
      </c>
      <c r="G19" s="7" t="n">
        <v>388.24</v>
      </c>
      <c r="H19" s="6" t="inlineStr">
        <is>
          <t>Stated amount</t>
        </is>
      </c>
      <c r="I19" s="12" t="inlineStr">
        <is>
          <t>FIXED</t>
        </is>
      </c>
      <c r="J19" s="6" t="inlineStr">
        <is>
          <t>yes</t>
        </is>
      </c>
      <c r="K19" s="6" t="inlineStr"/>
    </row>
    <row r="20">
      <c r="A20" s="5" t="n">
        <v>46576</v>
      </c>
      <c r="B20" s="6" t="inlineStr">
        <is>
          <t>Thu</t>
        </is>
      </c>
      <c r="C20" s="6" t="inlineStr">
        <is>
          <t>PNC</t>
        </is>
      </c>
      <c r="D20" s="6" t="inlineStr">
        <is>
          <t>3 Required debt</t>
        </is>
      </c>
      <c r="E20" s="6" t="inlineStr">
        <is>
          <t>monthly</t>
        </is>
      </c>
      <c r="F20" s="11" t="n">
        <v>150</v>
      </c>
      <c r="G20" s="7" t="n">
        <v>70</v>
      </c>
      <c r="H20" s="13" t="inlineStr">
        <is>
          <t>Forecast at worst seen</t>
        </is>
      </c>
      <c r="I20" s="6" t="inlineStr">
        <is>
          <t>UNKNOWN</t>
        </is>
      </c>
      <c r="J20" s="6" t="inlineStr">
        <is>
          <t>no</t>
        </is>
      </c>
      <c r="K20" s="6" t="inlineStr">
        <is>
          <t>70.00 - 150.00</t>
        </is>
      </c>
    </row>
    <row r="21">
      <c r="A21" s="5" t="n">
        <v>46579</v>
      </c>
      <c r="B21" s="6" t="inlineStr">
        <is>
          <t>Sun</t>
        </is>
      </c>
      <c r="C21" s="6" t="inlineStr">
        <is>
          <t>Groceries</t>
        </is>
      </c>
      <c r="D21" s="6" t="inlineStr">
        <is>
          <t>2 Essential</t>
        </is>
      </c>
      <c r="E21" s="6" t="inlineStr">
        <is>
          <t>weekly</t>
        </is>
      </c>
      <c r="F21" s="11" t="n">
        <v>319.09</v>
      </c>
      <c r="G21" s="7" t="n">
        <v>319.09</v>
      </c>
      <c r="H21" s="6" t="inlineStr">
        <is>
          <t>Stated amount</t>
        </is>
      </c>
      <c r="I21" s="12" t="inlineStr">
        <is>
          <t>FIXED</t>
        </is>
      </c>
      <c r="J21" s="6" t="inlineStr">
        <is>
          <t>no</t>
        </is>
      </c>
      <c r="K21" s="6" t="inlineStr">
        <is>
          <t>12.78 - 791.32</t>
        </is>
      </c>
    </row>
    <row r="22">
      <c r="A22" s="5" t="n">
        <v>46579</v>
      </c>
      <c r="B22" s="6" t="inlineStr">
        <is>
          <t>Sun</t>
        </is>
      </c>
      <c r="C22" s="6" t="inlineStr">
        <is>
          <t>Elizabethtown Gas</t>
        </is>
      </c>
      <c r="D22" s="6" t="inlineStr">
        <is>
          <t>2 Essential</t>
        </is>
      </c>
      <c r="E22" s="6" t="inlineStr">
        <is>
          <t>monthly</t>
        </is>
      </c>
      <c r="F22" s="11" t="n">
        <v>101.23</v>
      </c>
      <c r="G22" s="7" t="n">
        <v>54.03</v>
      </c>
      <c r="H22" s="6" t="inlineStr">
        <is>
          <t>Seasonal profile</t>
        </is>
      </c>
      <c r="I22" s="12" t="inlineStr">
        <is>
          <t>FIXED</t>
        </is>
      </c>
      <c r="J22" s="6" t="inlineStr">
        <is>
          <t>no</t>
        </is>
      </c>
      <c r="K22" s="6" t="inlineStr">
        <is>
          <t>54.03 - 550.83</t>
        </is>
      </c>
    </row>
    <row r="23">
      <c r="A23" s="5" t="n">
        <v>46579</v>
      </c>
      <c r="B23" s="6" t="inlineStr">
        <is>
          <t>Sun</t>
        </is>
      </c>
      <c r="C23" s="6" t="inlineStr">
        <is>
          <t>Fuel</t>
        </is>
      </c>
      <c r="D23" s="6" t="inlineStr">
        <is>
          <t>2 Essential</t>
        </is>
      </c>
      <c r="E23" s="6" t="inlineStr">
        <is>
          <t>weekly</t>
        </is>
      </c>
      <c r="F23" s="11" t="n">
        <v>90.77</v>
      </c>
      <c r="G23" s="7" t="n">
        <v>90.77</v>
      </c>
      <c r="H23" s="6" t="inlineStr">
        <is>
          <t>Stated amount</t>
        </is>
      </c>
      <c r="I23" s="12" t="inlineStr">
        <is>
          <t>FIXED</t>
        </is>
      </c>
      <c r="J23" s="6" t="inlineStr">
        <is>
          <t>no</t>
        </is>
      </c>
      <c r="K23" s="6" t="inlineStr">
        <is>
          <t>20.00 - 447.12</t>
        </is>
      </c>
    </row>
    <row r="24">
      <c r="A24" s="5" t="n">
        <v>46579</v>
      </c>
      <c r="B24" s="6" t="inlineStr">
        <is>
          <t>Sun</t>
        </is>
      </c>
      <c r="C24" s="6" t="inlineStr">
        <is>
          <t>T-Mobile Lia</t>
        </is>
      </c>
      <c r="D24" s="6" t="inlineStr">
        <is>
          <t>2 Essential</t>
        </is>
      </c>
      <c r="E24" s="6" t="inlineStr">
        <is>
          <t>monthly</t>
        </is>
      </c>
      <c r="F24" s="11" t="n">
        <v>20.75</v>
      </c>
      <c r="G24" s="7" t="n">
        <v>20.75</v>
      </c>
      <c r="H24" s="6" t="inlineStr">
        <is>
          <t>Stated amount</t>
        </is>
      </c>
      <c r="I24" s="6" t="inlineStr">
        <is>
          <t>UNKNOWN</t>
        </is>
      </c>
      <c r="J24" s="6" t="inlineStr">
        <is>
          <t>yes</t>
        </is>
      </c>
      <c r="K24" s="6" t="inlineStr"/>
    </row>
    <row r="25">
      <c r="A25" s="5" t="n">
        <v>46580</v>
      </c>
      <c r="B25" s="6" t="inlineStr">
        <is>
          <t>Mon</t>
        </is>
      </c>
      <c r="C25" s="6" t="inlineStr">
        <is>
          <t>Mortgage</t>
        </is>
      </c>
      <c r="D25" s="6" t="inlineStr">
        <is>
          <t>1 Secured/critical</t>
        </is>
      </c>
      <c r="E25" s="6" t="inlineStr">
        <is>
          <t>biweekly</t>
        </is>
      </c>
      <c r="F25" s="11" t="n">
        <v>1801.62</v>
      </c>
      <c r="G25" s="7" t="n">
        <v>1801.62</v>
      </c>
      <c r="H25" s="6" t="inlineStr">
        <is>
          <t>Stated amount</t>
        </is>
      </c>
      <c r="I25" s="12" t="inlineStr">
        <is>
          <t>FIXED</t>
        </is>
      </c>
      <c r="J25" s="6" t="inlineStr">
        <is>
          <t>no</t>
        </is>
      </c>
      <c r="K25" s="6" t="inlineStr"/>
    </row>
    <row r="26">
      <c r="A26" s="5" t="n">
        <v>46580</v>
      </c>
      <c r="B26" s="6" t="inlineStr">
        <is>
          <t>Mon</t>
        </is>
      </c>
      <c r="C26" s="6" t="inlineStr">
        <is>
          <t>Hanover Auto</t>
        </is>
      </c>
      <c r="D26" s="6" t="inlineStr">
        <is>
          <t>2 Essential</t>
        </is>
      </c>
      <c r="E26" s="6" t="inlineStr">
        <is>
          <t>monthly</t>
        </is>
      </c>
      <c r="F26" s="11" t="n">
        <v>513.27</v>
      </c>
      <c r="G26" s="7" t="n">
        <v>513.27</v>
      </c>
      <c r="H26" s="6" t="inlineStr">
        <is>
          <t>Stated amount</t>
        </is>
      </c>
      <c r="I26" s="12" t="inlineStr">
        <is>
          <t>FIXED</t>
        </is>
      </c>
      <c r="J26" s="6" t="inlineStr">
        <is>
          <t>no</t>
        </is>
      </c>
      <c r="K26" s="6" t="inlineStr"/>
    </row>
    <row r="27">
      <c r="A27" s="5" t="n">
        <v>46580</v>
      </c>
      <c r="B27" s="6" t="inlineStr">
        <is>
          <t>Mon</t>
        </is>
      </c>
      <c r="C27" s="6" t="inlineStr">
        <is>
          <t>Comenity</t>
        </is>
      </c>
      <c r="D27" s="6" t="inlineStr">
        <is>
          <t>3 Required debt</t>
        </is>
      </c>
      <c r="E27" s="6" t="inlineStr">
        <is>
          <t>monthly</t>
        </is>
      </c>
      <c r="F27" s="11" t="n">
        <v>65</v>
      </c>
      <c r="G27" s="7" t="n">
        <v>50</v>
      </c>
      <c r="H27" s="13" t="inlineStr">
        <is>
          <t>Forecast at worst seen</t>
        </is>
      </c>
      <c r="I27" s="6" t="inlineStr">
        <is>
          <t>UNKNOWN</t>
        </is>
      </c>
      <c r="J27" s="6" t="inlineStr">
        <is>
          <t>no</t>
        </is>
      </c>
      <c r="K27" s="6" t="inlineStr">
        <is>
          <t>40.00 - 65.00</t>
        </is>
      </c>
    </row>
    <row r="28">
      <c r="A28" s="5" t="n">
        <v>46582</v>
      </c>
      <c r="B28" s="6" t="inlineStr">
        <is>
          <t>Wed</t>
        </is>
      </c>
      <c r="C28" s="6" t="inlineStr">
        <is>
          <t>Home Depot</t>
        </is>
      </c>
      <c r="D28" s="6" t="inlineStr">
        <is>
          <t>5 Discretionary</t>
        </is>
      </c>
      <c r="E28" s="6" t="inlineStr">
        <is>
          <t>monthly</t>
        </is>
      </c>
      <c r="F28" s="11" t="n">
        <v>100</v>
      </c>
      <c r="G28" s="7" t="n">
        <v>100</v>
      </c>
      <c r="H28" s="6" t="inlineStr">
        <is>
          <t>Stated amount</t>
        </is>
      </c>
      <c r="I28" s="6" t="inlineStr">
        <is>
          <t>UNKNOWN</t>
        </is>
      </c>
      <c r="J28" s="6" t="inlineStr">
        <is>
          <t>yes</t>
        </is>
      </c>
      <c r="K28" s="6" t="inlineStr">
        <is>
          <t>32.70 - 100.00</t>
        </is>
      </c>
    </row>
    <row r="29">
      <c r="A29" s="5" t="n">
        <v>46583</v>
      </c>
      <c r="B29" s="6" t="inlineStr">
        <is>
          <t>Thu</t>
        </is>
      </c>
      <c r="C29" s="6" t="inlineStr">
        <is>
          <t>Loew &amp; Patel braces</t>
        </is>
      </c>
      <c r="D29" s="6" t="inlineStr">
        <is>
          <t>4 Scheduled</t>
        </is>
      </c>
      <c r="E29" s="6" t="inlineStr">
        <is>
          <t>monthly</t>
        </is>
      </c>
      <c r="F29" s="11" t="n">
        <v>400</v>
      </c>
      <c r="G29" s="7" t="n">
        <v>400</v>
      </c>
      <c r="H29" s="6" t="inlineStr">
        <is>
          <t>Stated amount</t>
        </is>
      </c>
      <c r="I29" s="6" t="inlineStr">
        <is>
          <t>UNKNOWN</t>
        </is>
      </c>
      <c r="J29" s="6" t="inlineStr">
        <is>
          <t>no</t>
        </is>
      </c>
      <c r="K29" s="6" t="inlineStr">
        <is>
          <t>15.00 - 0.00</t>
        </is>
      </c>
    </row>
    <row r="30">
      <c r="A30" s="5" t="n">
        <v>46583</v>
      </c>
      <c r="B30" s="6" t="inlineStr">
        <is>
          <t>Thu</t>
        </is>
      </c>
      <c r="C30" s="6" t="inlineStr">
        <is>
          <t>Upstart debt consol</t>
        </is>
      </c>
      <c r="D30" s="6" t="inlineStr">
        <is>
          <t>3 Required debt</t>
        </is>
      </c>
      <c r="E30" s="6" t="inlineStr">
        <is>
          <t>monthly</t>
        </is>
      </c>
      <c r="F30" s="11" t="n">
        <v>161</v>
      </c>
      <c r="G30" s="7" t="n">
        <v>161</v>
      </c>
      <c r="H30" s="6" t="inlineStr">
        <is>
          <t>Stated amount</t>
        </is>
      </c>
      <c r="I30" s="12" t="inlineStr">
        <is>
          <t>FIXED</t>
        </is>
      </c>
      <c r="J30" s="6" t="inlineStr">
        <is>
          <t>yes</t>
        </is>
      </c>
      <c r="K30" s="6" t="inlineStr"/>
    </row>
    <row r="31">
      <c r="A31" s="5" t="n">
        <v>46585</v>
      </c>
      <c r="B31" s="6" t="inlineStr">
        <is>
          <t>Sat</t>
        </is>
      </c>
      <c r="C31" s="6" t="inlineStr">
        <is>
          <t>Capital One CC</t>
        </is>
      </c>
      <c r="D31" s="6" t="inlineStr">
        <is>
          <t>3 Required debt</t>
        </is>
      </c>
      <c r="E31" s="6" t="inlineStr">
        <is>
          <t>monthly</t>
        </is>
      </c>
      <c r="F31" s="11" t="n">
        <v>163</v>
      </c>
      <c r="G31" s="7" t="n">
        <v>105</v>
      </c>
      <c r="H31" s="14" t="inlineStr">
        <is>
          <t>SUPERSEDED - see notes</t>
        </is>
      </c>
      <c r="I31" s="6" t="inlineStr">
        <is>
          <t>UNKNOWN</t>
        </is>
      </c>
      <c r="J31" s="6" t="inlineStr">
        <is>
          <t>yes</t>
        </is>
      </c>
      <c r="K31" s="6" t="inlineStr">
        <is>
          <t>154.00 - 163.00</t>
        </is>
      </c>
    </row>
    <row r="32">
      <c r="A32" s="5" t="n">
        <v>46585</v>
      </c>
      <c r="B32" s="6" t="inlineStr">
        <is>
          <t>Sat</t>
        </is>
      </c>
      <c r="C32" s="6" t="inlineStr">
        <is>
          <t>Chase CC Amazon</t>
        </is>
      </c>
      <c r="D32" s="6" t="inlineStr">
        <is>
          <t>3 Required debt</t>
        </is>
      </c>
      <c r="E32" s="6" t="inlineStr">
        <is>
          <t>monthly</t>
        </is>
      </c>
      <c r="F32" s="11" t="n">
        <v>136</v>
      </c>
      <c r="G32" s="7" t="n">
        <v>80</v>
      </c>
      <c r="H32" s="14" t="inlineStr">
        <is>
          <t>SUPERSEDED - see notes</t>
        </is>
      </c>
      <c r="I32" s="6" t="inlineStr">
        <is>
          <t>UNKNOWN</t>
        </is>
      </c>
      <c r="J32" s="6" t="inlineStr">
        <is>
          <t>yes</t>
        </is>
      </c>
      <c r="K32" s="6" t="inlineStr">
        <is>
          <t>124.00 - 136.00</t>
        </is>
      </c>
    </row>
    <row r="33">
      <c r="A33" s="5" t="n">
        <v>46586</v>
      </c>
      <c r="B33" s="6" t="inlineStr">
        <is>
          <t>Sun</t>
        </is>
      </c>
      <c r="C33" s="6" t="inlineStr">
        <is>
          <t>Groceries</t>
        </is>
      </c>
      <c r="D33" s="6" t="inlineStr">
        <is>
          <t>2 Essential</t>
        </is>
      </c>
      <c r="E33" s="6" t="inlineStr">
        <is>
          <t>weekly</t>
        </is>
      </c>
      <c r="F33" s="11" t="n">
        <v>319.09</v>
      </c>
      <c r="G33" s="7" t="n">
        <v>319.09</v>
      </c>
      <c r="H33" s="6" t="inlineStr">
        <is>
          <t>Stated amount</t>
        </is>
      </c>
      <c r="I33" s="12" t="inlineStr">
        <is>
          <t>FIXED</t>
        </is>
      </c>
      <c r="J33" s="6" t="inlineStr">
        <is>
          <t>no</t>
        </is>
      </c>
      <c r="K33" s="6" t="inlineStr">
        <is>
          <t>12.78 - 791.32</t>
        </is>
      </c>
    </row>
    <row r="34">
      <c r="A34" s="5" t="n">
        <v>46586</v>
      </c>
      <c r="B34" s="6" t="inlineStr">
        <is>
          <t>Sun</t>
        </is>
      </c>
      <c r="C34" s="6" t="inlineStr">
        <is>
          <t>CCU car loan</t>
        </is>
      </c>
      <c r="D34" s="6" t="inlineStr">
        <is>
          <t>1 Secured/critical</t>
        </is>
      </c>
      <c r="E34" s="6" t="inlineStr">
        <is>
          <t>monthly</t>
        </is>
      </c>
      <c r="F34" s="11" t="n">
        <v>306.9</v>
      </c>
      <c r="G34" s="7" t="n">
        <v>306.9</v>
      </c>
      <c r="H34" s="6" t="inlineStr">
        <is>
          <t>Stated amount</t>
        </is>
      </c>
      <c r="I34" s="12" t="inlineStr">
        <is>
          <t>FIXED</t>
        </is>
      </c>
      <c r="J34" s="6" t="inlineStr">
        <is>
          <t>yes</t>
        </is>
      </c>
      <c r="K34" s="6" t="inlineStr"/>
    </row>
    <row r="35">
      <c r="A35" s="5" t="n">
        <v>46586</v>
      </c>
      <c r="B35" s="6" t="inlineStr">
        <is>
          <t>Sun</t>
        </is>
      </c>
      <c r="C35" s="6" t="inlineStr">
        <is>
          <t>Comcast</t>
        </is>
      </c>
      <c r="D35" s="6" t="inlineStr">
        <is>
          <t>2 Essential</t>
        </is>
      </c>
      <c r="E35" s="6" t="inlineStr">
        <is>
          <t>monthly</t>
        </is>
      </c>
      <c r="F35" s="11" t="n">
        <v>138.93</v>
      </c>
      <c r="G35" s="7" t="n">
        <v>138.93</v>
      </c>
      <c r="H35" s="6" t="inlineStr">
        <is>
          <t>Stated amount</t>
        </is>
      </c>
      <c r="I35" s="6" t="inlineStr">
        <is>
          <t>UNKNOWN</t>
        </is>
      </c>
      <c r="J35" s="6" t="inlineStr">
        <is>
          <t>yes</t>
        </is>
      </c>
      <c r="K35" s="6" t="inlineStr"/>
    </row>
    <row r="36">
      <c r="A36" s="5" t="n">
        <v>46586</v>
      </c>
      <c r="B36" s="6" t="inlineStr">
        <is>
          <t>Sun</t>
        </is>
      </c>
      <c r="C36" s="6" t="inlineStr">
        <is>
          <t>Lowes</t>
        </is>
      </c>
      <c r="D36" s="6" t="inlineStr">
        <is>
          <t>5 Discretionary</t>
        </is>
      </c>
      <c r="E36" s="6" t="inlineStr">
        <is>
          <t>monthly</t>
        </is>
      </c>
      <c r="F36" s="11" t="n">
        <v>126</v>
      </c>
      <c r="G36" s="7" t="n">
        <v>69</v>
      </c>
      <c r="H36" s="14" t="inlineStr">
        <is>
          <t>SUPERSEDED - see notes</t>
        </is>
      </c>
      <c r="I36" s="6" t="inlineStr">
        <is>
          <t>UNKNOWN</t>
        </is>
      </c>
      <c r="J36" s="6" t="inlineStr">
        <is>
          <t>yes</t>
        </is>
      </c>
      <c r="K36" s="6" t="inlineStr">
        <is>
          <t>122.00 - 126.00</t>
        </is>
      </c>
    </row>
    <row r="37">
      <c r="A37" s="5" t="n">
        <v>46586</v>
      </c>
      <c r="B37" s="6" t="inlineStr">
        <is>
          <t>Sun</t>
        </is>
      </c>
      <c r="C37" s="6" t="inlineStr">
        <is>
          <t>Fuel</t>
        </is>
      </c>
      <c r="D37" s="6" t="inlineStr">
        <is>
          <t>2 Essential</t>
        </is>
      </c>
      <c r="E37" s="6" t="inlineStr">
        <is>
          <t>weekly</t>
        </is>
      </c>
      <c r="F37" s="11" t="n">
        <v>90.77</v>
      </c>
      <c r="G37" s="7" t="n">
        <v>90.77</v>
      </c>
      <c r="H37" s="6" t="inlineStr">
        <is>
          <t>Stated amount</t>
        </is>
      </c>
      <c r="I37" s="12" t="inlineStr">
        <is>
          <t>FIXED</t>
        </is>
      </c>
      <c r="J37" s="6" t="inlineStr">
        <is>
          <t>no</t>
        </is>
      </c>
      <c r="K37" s="6" t="inlineStr">
        <is>
          <t>20.00 - 447.12</t>
        </is>
      </c>
    </row>
    <row r="38">
      <c r="A38" s="5" t="n">
        <v>46586</v>
      </c>
      <c r="B38" s="6" t="inlineStr">
        <is>
          <t>Sun</t>
        </is>
      </c>
      <c r="C38" s="6" t="inlineStr">
        <is>
          <t>Upgrade basement</t>
        </is>
      </c>
      <c r="D38" s="6" t="inlineStr">
        <is>
          <t>3 Required debt</t>
        </is>
      </c>
      <c r="E38" s="6" t="inlineStr">
        <is>
          <t>monthly</t>
        </is>
      </c>
      <c r="F38" s="11" t="n">
        <v>86.36</v>
      </c>
      <c r="G38" s="7" t="n">
        <v>86.36</v>
      </c>
      <c r="H38" s="6" t="inlineStr">
        <is>
          <t>Stated amount</t>
        </is>
      </c>
      <c r="I38" s="12" t="inlineStr">
        <is>
          <t>FIXED</t>
        </is>
      </c>
      <c r="J38" s="6" t="inlineStr">
        <is>
          <t>yes</t>
        </is>
      </c>
      <c r="K38" s="6" t="inlineStr"/>
    </row>
    <row r="39">
      <c r="A39" s="5" t="n">
        <v>46587</v>
      </c>
      <c r="B39" s="6" t="inlineStr">
        <is>
          <t>Mon</t>
        </is>
      </c>
      <c r="C39" s="6" t="inlineStr">
        <is>
          <t>IRS state</t>
        </is>
      </c>
      <c r="D39" s="6" t="inlineStr">
        <is>
          <t>2 Essential</t>
        </is>
      </c>
      <c r="E39" s="6" t="inlineStr">
        <is>
          <t>monthly</t>
        </is>
      </c>
      <c r="F39" s="11" t="n">
        <v>114</v>
      </c>
      <c r="G39" s="7" t="n">
        <v>114</v>
      </c>
      <c r="H39" s="6" t="inlineStr">
        <is>
          <t>Stated amount</t>
        </is>
      </c>
      <c r="I39" s="12" t="inlineStr">
        <is>
          <t>FIXED</t>
        </is>
      </c>
      <c r="J39" s="6" t="inlineStr">
        <is>
          <t>no</t>
        </is>
      </c>
      <c r="K39" s="6" t="inlineStr"/>
    </row>
    <row r="40">
      <c r="A40" s="5" t="n">
        <v>46587</v>
      </c>
      <c r="B40" s="6" t="inlineStr">
        <is>
          <t>Mon</t>
        </is>
      </c>
      <c r="C40" s="6" t="inlineStr">
        <is>
          <t>IRS federal</t>
        </is>
      </c>
      <c r="D40" s="6" t="inlineStr">
        <is>
          <t>2 Essential</t>
        </is>
      </c>
      <c r="E40" s="6" t="inlineStr">
        <is>
          <t>monthly</t>
        </is>
      </c>
      <c r="F40" s="11" t="n">
        <v>103</v>
      </c>
      <c r="G40" s="7" t="n">
        <v>103</v>
      </c>
      <c r="H40" s="6" t="inlineStr">
        <is>
          <t>Stated amount</t>
        </is>
      </c>
      <c r="I40" s="12" t="inlineStr">
        <is>
          <t>FIXED</t>
        </is>
      </c>
      <c r="J40" s="6" t="inlineStr">
        <is>
          <t>no</t>
        </is>
      </c>
      <c r="K40" s="6" t="inlineStr"/>
    </row>
    <row r="41">
      <c r="A41" s="5" t="n">
        <v>46590</v>
      </c>
      <c r="B41" s="6" t="inlineStr">
        <is>
          <t>Thu</t>
        </is>
      </c>
      <c r="C41" s="6" t="inlineStr">
        <is>
          <t>Chase CC United</t>
        </is>
      </c>
      <c r="D41" s="6" t="inlineStr">
        <is>
          <t>3 Required debt</t>
        </is>
      </c>
      <c r="E41" s="6" t="inlineStr">
        <is>
          <t>monthly</t>
        </is>
      </c>
      <c r="F41" s="11" t="n">
        <v>88</v>
      </c>
      <c r="G41" s="7" t="n">
        <v>46</v>
      </c>
      <c r="H41" s="14" t="inlineStr">
        <is>
          <t>SUPERSEDED - see notes</t>
        </is>
      </c>
      <c r="I41" s="6" t="inlineStr">
        <is>
          <t>UNKNOWN</t>
        </is>
      </c>
      <c r="J41" s="6" t="inlineStr">
        <is>
          <t>yes</t>
        </is>
      </c>
      <c r="K41" s="6" t="inlineStr">
        <is>
          <t>76.00 - 88.00</t>
        </is>
      </c>
    </row>
    <row r="42">
      <c r="A42" s="5" t="n">
        <v>46591</v>
      </c>
      <c r="B42" s="6" t="inlineStr">
        <is>
          <t>Fri</t>
        </is>
      </c>
      <c r="C42" s="6" t="inlineStr">
        <is>
          <t>Netflix</t>
        </is>
      </c>
      <c r="D42" s="6" t="inlineStr">
        <is>
          <t>5 Discretionary</t>
        </is>
      </c>
      <c r="E42" s="6" t="inlineStr">
        <is>
          <t>monthly</t>
        </is>
      </c>
      <c r="F42" s="11" t="n">
        <v>21.31</v>
      </c>
      <c r="G42" s="7" t="n">
        <v>21.31</v>
      </c>
      <c r="H42" s="6" t="inlineStr">
        <is>
          <t>Stated amount</t>
        </is>
      </c>
      <c r="I42" s="6" t="inlineStr">
        <is>
          <t>UNKNOWN</t>
        </is>
      </c>
      <c r="J42" s="6" t="inlineStr">
        <is>
          <t>yes</t>
        </is>
      </c>
      <c r="K42" s="6" t="inlineStr"/>
    </row>
    <row r="43">
      <c r="A43" s="5" t="n">
        <v>46592</v>
      </c>
      <c r="B43" s="6" t="inlineStr">
        <is>
          <t>Sat</t>
        </is>
      </c>
      <c r="C43" s="6" t="inlineStr">
        <is>
          <t>Kia</t>
        </is>
      </c>
      <c r="D43" s="6" t="inlineStr">
        <is>
          <t>1 Secured/critical</t>
        </is>
      </c>
      <c r="E43" s="6" t="inlineStr">
        <is>
          <t>monthly</t>
        </is>
      </c>
      <c r="F43" s="11" t="n">
        <v>742.65</v>
      </c>
      <c r="G43" s="7" t="n">
        <v>742.65</v>
      </c>
      <c r="H43" s="6" t="inlineStr">
        <is>
          <t>Stated amount</t>
        </is>
      </c>
      <c r="I43" s="12" t="inlineStr">
        <is>
          <t>FIXED</t>
        </is>
      </c>
      <c r="J43" s="6" t="inlineStr">
        <is>
          <t>yes</t>
        </is>
      </c>
      <c r="K43" s="6" t="inlineStr"/>
    </row>
    <row r="44">
      <c r="A44" s="5" t="n">
        <v>46592</v>
      </c>
      <c r="B44" s="6" t="inlineStr">
        <is>
          <t>Sat</t>
        </is>
      </c>
      <c r="C44" s="6" t="inlineStr">
        <is>
          <t>Upstart past bills (from Sep)</t>
        </is>
      </c>
      <c r="D44" s="6" t="inlineStr">
        <is>
          <t>3 Required debt</t>
        </is>
      </c>
      <c r="E44" s="6" t="inlineStr">
        <is>
          <t>monthly</t>
        </is>
      </c>
      <c r="F44" s="11" t="n">
        <v>337.61</v>
      </c>
      <c r="G44" s="7" t="n">
        <v>337.61</v>
      </c>
      <c r="H44" s="6" t="inlineStr">
        <is>
          <t>Stated amount</t>
        </is>
      </c>
      <c r="I44" s="12" t="inlineStr">
        <is>
          <t>FIXED</t>
        </is>
      </c>
      <c r="J44" s="6" t="inlineStr">
        <is>
          <t>yes</t>
        </is>
      </c>
      <c r="K44" s="6" t="inlineStr"/>
    </row>
    <row r="45">
      <c r="A45" s="5" t="n">
        <v>46593</v>
      </c>
      <c r="B45" s="6" t="inlineStr">
        <is>
          <t>Sun</t>
        </is>
      </c>
      <c r="C45" s="6" t="inlineStr">
        <is>
          <t>Groceries</t>
        </is>
      </c>
      <c r="D45" s="6" t="inlineStr">
        <is>
          <t>2 Essential</t>
        </is>
      </c>
      <c r="E45" s="6" t="inlineStr">
        <is>
          <t>weekly</t>
        </is>
      </c>
      <c r="F45" s="11" t="n">
        <v>319.09</v>
      </c>
      <c r="G45" s="7" t="n">
        <v>319.09</v>
      </c>
      <c r="H45" s="6" t="inlineStr">
        <is>
          <t>Stated amount</t>
        </is>
      </c>
      <c r="I45" s="12" t="inlineStr">
        <is>
          <t>FIXED</t>
        </is>
      </c>
      <c r="J45" s="6" t="inlineStr">
        <is>
          <t>no</t>
        </is>
      </c>
      <c r="K45" s="6" t="inlineStr">
        <is>
          <t>12.78 - 791.32</t>
        </is>
      </c>
    </row>
    <row r="46">
      <c r="A46" s="5" t="n">
        <v>46593</v>
      </c>
      <c r="B46" s="6" t="inlineStr">
        <is>
          <t>Sun</t>
        </is>
      </c>
      <c r="C46" s="6" t="inlineStr">
        <is>
          <t>Fuel</t>
        </is>
      </c>
      <c r="D46" s="6" t="inlineStr">
        <is>
          <t>2 Essential</t>
        </is>
      </c>
      <c r="E46" s="6" t="inlineStr">
        <is>
          <t>weekly</t>
        </is>
      </c>
      <c r="F46" s="11" t="n">
        <v>90.77</v>
      </c>
      <c r="G46" s="7" t="n">
        <v>90.77</v>
      </c>
      <c r="H46" s="6" t="inlineStr">
        <is>
          <t>Stated amount</t>
        </is>
      </c>
      <c r="I46" s="12" t="inlineStr">
        <is>
          <t>FIXED</t>
        </is>
      </c>
      <c r="J46" s="6" t="inlineStr">
        <is>
          <t>no</t>
        </is>
      </c>
      <c r="K46" s="6" t="inlineStr">
        <is>
          <t>20.00 - 447.12</t>
        </is>
      </c>
    </row>
    <row r="47">
      <c r="A47" s="5" t="n">
        <v>46594</v>
      </c>
      <c r="B47" s="6" t="inlineStr">
        <is>
          <t>Mon</t>
        </is>
      </c>
      <c r="C47" s="6" t="inlineStr">
        <is>
          <t>Mortgage</t>
        </is>
      </c>
      <c r="D47" s="6" t="inlineStr">
        <is>
          <t>1 Secured/critical</t>
        </is>
      </c>
      <c r="E47" s="6" t="inlineStr">
        <is>
          <t>biweekly</t>
        </is>
      </c>
      <c r="F47" s="11" t="n">
        <v>1801.62</v>
      </c>
      <c r="G47" s="7" t="n">
        <v>1801.62</v>
      </c>
      <c r="H47" s="6" t="inlineStr">
        <is>
          <t>Stated amount</t>
        </is>
      </c>
      <c r="I47" s="12" t="inlineStr">
        <is>
          <t>FIXED</t>
        </is>
      </c>
      <c r="J47" s="6" t="inlineStr">
        <is>
          <t>no</t>
        </is>
      </c>
      <c r="K47" s="6" t="inlineStr"/>
    </row>
    <row r="48">
      <c r="A48" s="5" t="n">
        <v>46595</v>
      </c>
      <c r="B48" s="6" t="inlineStr">
        <is>
          <t>Tue</t>
        </is>
      </c>
      <c r="C48" s="6" t="inlineStr">
        <is>
          <t>Barclay Old Navy</t>
        </is>
      </c>
      <c r="D48" s="6" t="inlineStr">
        <is>
          <t>3 Required debt</t>
        </is>
      </c>
      <c r="E48" s="6" t="inlineStr">
        <is>
          <t>monthly</t>
        </is>
      </c>
      <c r="F48" s="11" t="n">
        <v>84.78</v>
      </c>
      <c r="G48" s="7" t="n">
        <v>60.74</v>
      </c>
      <c r="H48" s="13" t="inlineStr">
        <is>
          <t>Forecast at worst seen</t>
        </is>
      </c>
      <c r="I48" s="6" t="inlineStr">
        <is>
          <t>UNKNOWN</t>
        </is>
      </c>
      <c r="J48" s="6" t="inlineStr">
        <is>
          <t>yes</t>
        </is>
      </c>
      <c r="K48" s="6" t="inlineStr">
        <is>
          <t>52.98 - 84.78</t>
        </is>
      </c>
    </row>
    <row r="49">
      <c r="A49" s="5" t="n">
        <v>46597</v>
      </c>
      <c r="B49" s="6" t="inlineStr">
        <is>
          <t>Thu</t>
        </is>
      </c>
      <c r="C49" s="6" t="inlineStr">
        <is>
          <t>Xfinity Mobile</t>
        </is>
      </c>
      <c r="D49" s="6" t="inlineStr">
        <is>
          <t>2 Essential</t>
        </is>
      </c>
      <c r="E49" s="6" t="inlineStr">
        <is>
          <t>monthly</t>
        </is>
      </c>
      <c r="F49" s="11" t="n">
        <v>88.81999999999999</v>
      </c>
      <c r="G49" s="7" t="n">
        <v>88.81999999999999</v>
      </c>
      <c r="H49" s="6" t="inlineStr">
        <is>
          <t>Stated amount</t>
        </is>
      </c>
      <c r="I49" s="6" t="inlineStr">
        <is>
          <t>UNKNOWN</t>
        </is>
      </c>
      <c r="J49" s="6" t="inlineStr">
        <is>
          <t>yes</t>
        </is>
      </c>
      <c r="K49" s="6" t="inlineStr"/>
    </row>
    <row r="50">
      <c r="A50" s="5" t="n">
        <v>46597</v>
      </c>
      <c r="B50" s="6" t="inlineStr">
        <is>
          <t>Thu</t>
        </is>
      </c>
      <c r="C50" s="6" t="inlineStr">
        <is>
          <t>Affirm</t>
        </is>
      </c>
      <c r="D50" s="6" t="inlineStr">
        <is>
          <t>3 Required debt</t>
        </is>
      </c>
      <c r="E50" s="6" t="inlineStr">
        <is>
          <t>monthly</t>
        </is>
      </c>
      <c r="F50" s="11" t="n">
        <v>73.06999999999999</v>
      </c>
      <c r="G50" s="7" t="n">
        <v>73.06999999999999</v>
      </c>
      <c r="H50" s="6" t="inlineStr">
        <is>
          <t>Stated amount</t>
        </is>
      </c>
      <c r="I50" s="6" t="inlineStr">
        <is>
          <t>UNKNOWN</t>
        </is>
      </c>
      <c r="J50" s="6" t="inlineStr">
        <is>
          <t>yes</t>
        </is>
      </c>
      <c r="K50" s="6" t="inlineStr"/>
    </row>
    <row r="51">
      <c r="A51" s="8" t="n"/>
      <c r="B51" s="8" t="n"/>
      <c r="C51" s="9" t="inlineStr">
        <is>
          <t>Total money out</t>
        </is>
      </c>
      <c r="D51" s="8" t="n"/>
      <c r="E51" s="8" t="n"/>
      <c r="F51" s="10">
        <f>SUM(F14:F50)</f>
        <v/>
      </c>
      <c r="G51" s="10">
        <f>SUM(G14:G50)</f>
        <v/>
      </c>
      <c r="H51" s="8" t="n"/>
      <c r="I51" s="8" t="n"/>
      <c r="J51" s="8" t="n"/>
      <c r="K51" s="8" t="n"/>
    </row>
    <row r="53">
      <c r="A53" s="3" t="inlineStr">
        <is>
          <t>MONTH SUMMARY</t>
        </is>
      </c>
    </row>
    <row r="54">
      <c r="C54" s="6" t="inlineStr">
        <is>
          <t>Money in</t>
        </is>
      </c>
      <c r="D54" s="15" t="n"/>
      <c r="E54" s="15" t="n"/>
      <c r="F54" s="16">
        <f>E10</f>
        <v/>
      </c>
    </row>
    <row r="55">
      <c r="C55" s="6" t="inlineStr">
        <is>
          <t>Money out (budget)</t>
        </is>
      </c>
      <c r="D55" s="15" t="n"/>
      <c r="E55" s="15" t="n"/>
      <c r="F55" s="16">
        <f>F51</f>
        <v/>
      </c>
    </row>
    <row r="56">
      <c r="C56" s="9" t="inlineStr">
        <is>
          <t>Net for the month</t>
        </is>
      </c>
      <c r="D56" s="8" t="n"/>
      <c r="E56" s="8" t="n"/>
      <c r="F56" s="10">
        <f>E10-F51</f>
        <v/>
      </c>
    </row>
    <row r="57">
      <c r="C57" s="6" t="inlineStr">
        <is>
          <t>Money out at stored amounts</t>
        </is>
      </c>
      <c r="D57" s="15" t="n"/>
      <c r="E57" s="15" t="n"/>
      <c r="F57" s="16">
        <f>G51</f>
        <v/>
      </c>
    </row>
    <row r="58">
      <c r="C58" s="6" t="inlineStr">
        <is>
          <t>Over-forecast vs stored</t>
        </is>
      </c>
      <c r="D58" s="15" t="n"/>
      <c r="E58" s="15" t="n"/>
      <c r="F58" s="16">
        <f>F51-G51</f>
        <v/>
      </c>
    </row>
    <row r="60">
      <c r="A60" s="3" t="inlineStr">
        <is>
          <t>NOTES AND ASSUMPTIONS</t>
        </is>
      </c>
    </row>
    <row r="61">
      <c r="A61" s="17" t="inlineStr">
        <is>
          <t>- INCOME SWITCHED OFF: Branchburg BOE payroll (2,829.31 biweekly) is recorded in income.json but NOT counted anywhere in this workbook. If it is actually being received, every monthly net figure here is understated by that amount.</t>
        </is>
      </c>
    </row>
    <row r="62">
      <c r="A62" s="17" t="inlineStr">
        <is>
          <t>- Budget vs Stored: 'Budget' is what the engine forecasts for that date; 'Stored' is the figure recorded in bills.json.</t>
        </is>
      </c>
    </row>
    <row r="63">
      <c r="A63" s="17" t="inlineStr">
        <is>
          <t>- Seasonal profile: gas and electric carry a month-of-year profile built from recent years of statements, so their budget figure changes every month. Neither figure is wrong.</t>
        </is>
      </c>
    </row>
    <row r="64">
      <c r="A64" s="17" t="inlineStr">
        <is>
          <t>- Forecast at worst seen: a variable bill landing monthly or less often is budgeted at the top of its observed range, deliberately, because under-forecasting an outflow is what causes an overdraft.</t>
        </is>
      </c>
    </row>
    <row r="65">
      <c r="A65" s="17" t="inlineStr">
        <is>
          <t>- SUPERSEDED: the engine is forecasting ABOVE an amount the household renegotiated, because the observed maximum predates the correction. Affects four cards and the water bill. This is a defect, not a rule - the Stored column is the agreed figure.</t>
        </is>
      </c>
    </row>
    <row r="66">
      <c r="A66" s="17" t="inlineStr">
        <is>
          <t>- Movability: FIXED means secured or recorded as non-deferrable. UNKNOWN means nothing records how late the payment may safely be, so no date change can be recommended without confirming it.</t>
        </is>
      </c>
    </row>
    <row r="67">
      <c r="A67" s="17" t="inlineStr">
        <is>
          <t>- Weekly items (groceries, fuel) appear once per occurrence, so a five-week month legitimately shows five rows.</t>
        </is>
      </c>
    </row>
    <row r="68">
      <c r="A68" s="17" t="inlineStr">
        <is>
          <t>- Excluded as ended or paid off, kept for history: Affirm large, Trilogy Lacrosse.</t>
        </is>
      </c>
    </row>
  </sheetData>
  <mergeCells count="10">
    <mergeCell ref="A61:K61"/>
    <mergeCell ref="A62:K62"/>
    <mergeCell ref="A64:K64"/>
    <mergeCell ref="A65:K65"/>
    <mergeCell ref="A2:K2"/>
    <mergeCell ref="A63:K63"/>
    <mergeCell ref="A68:K68"/>
    <mergeCell ref="A66:K66"/>
    <mergeCell ref="A1:K1"/>
    <mergeCell ref="A67:K67"/>
  </mergeCell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1:K70"/>
  <sheetViews>
    <sheetView showGridLines="0" workbookViewId="0">
      <pane ySplit="13" topLeftCell="A14" activePane="bottomLeft" state="frozen"/>
      <selection pane="bottomLeft" activeCell="A1" sqref="A1"/>
    </sheetView>
  </sheetViews>
  <sheetFormatPr baseColWidth="8" defaultRowHeight="15"/>
  <cols>
    <col width="12" customWidth="1" min="1" max="1"/>
    <col width="6" customWidth="1" min="2" max="2"/>
    <col width="26" customWidth="1" min="3" max="3"/>
    <col width="18" customWidth="1" min="4" max="4"/>
    <col width="11" customWidth="1" min="5" max="5"/>
    <col width="12" customWidth="1" min="6" max="6"/>
    <col width="12" customWidth="1" min="7" max="7"/>
    <col width="22" customWidth="1" min="8" max="8"/>
    <col width="13" customWidth="1" min="9" max="9"/>
    <col width="9" customWidth="1" min="10" max="10"/>
    <col width="22" customWidth="1" min="11" max="11"/>
  </cols>
  <sheetData>
    <row r="1" ht="26" customHeight="1">
      <c r="A1" s="1" t="inlineStr">
        <is>
          <t>OpenFIN  -  Monthly bill plan  -  August 2027</t>
        </is>
      </c>
    </row>
    <row r="2">
      <c r="A2" s="2" t="inlineStr">
        <is>
          <t>Dates and amounts generated from bills.json and income.json. Seasonal bills use their month-of-year profile built from recent years of statements.</t>
        </is>
      </c>
    </row>
    <row r="4">
      <c r="A4" s="3" t="inlineStr">
        <is>
          <t>MONEY IN</t>
        </is>
      </c>
    </row>
    <row r="5">
      <c r="A5" s="4" t="inlineStr">
        <is>
          <t>Date</t>
        </is>
      </c>
      <c r="B5" s="4" t="inlineStr">
        <is>
          <t>Day</t>
        </is>
      </c>
      <c r="C5" s="4" t="inlineStr">
        <is>
          <t>Source</t>
        </is>
      </c>
      <c r="D5" s="4" t="inlineStr">
        <is>
          <t>Frequency</t>
        </is>
      </c>
      <c r="E5" s="4" t="inlineStr">
        <is>
          <t>Amount</t>
        </is>
      </c>
      <c r="F5" s="4" t="inlineStr">
        <is>
          <t>Status</t>
        </is>
      </c>
    </row>
    <row r="6">
      <c r="A6" s="5" t="n">
        <v>46603</v>
      </c>
      <c r="B6" s="6" t="inlineStr">
        <is>
          <t>Wed</t>
        </is>
      </c>
      <c r="C6" s="6" t="inlineStr">
        <is>
          <t>Insight Global payroll</t>
        </is>
      </c>
      <c r="D6" s="6" t="inlineStr">
        <is>
          <t>weekly</t>
        </is>
      </c>
      <c r="E6" s="7" t="n">
        <v>2016.06</v>
      </c>
      <c r="F6" s="6" t="inlineStr">
        <is>
          <t>UNVERIFIED - flagged needs_review</t>
        </is>
      </c>
    </row>
    <row r="7">
      <c r="A7" s="5" t="n">
        <v>46610</v>
      </c>
      <c r="B7" s="6" t="inlineStr">
        <is>
          <t>Wed</t>
        </is>
      </c>
      <c r="C7" s="6" t="inlineStr">
        <is>
          <t>Insight Global payroll</t>
        </is>
      </c>
      <c r="D7" s="6" t="inlineStr">
        <is>
          <t>weekly</t>
        </is>
      </c>
      <c r="E7" s="7" t="n">
        <v>2016.06</v>
      </c>
      <c r="F7" s="6" t="inlineStr">
        <is>
          <t>UNVERIFIED - flagged needs_review</t>
        </is>
      </c>
    </row>
    <row r="8">
      <c r="A8" s="5" t="n">
        <v>46617</v>
      </c>
      <c r="B8" s="6" t="inlineStr">
        <is>
          <t>Wed</t>
        </is>
      </c>
      <c r="C8" s="6" t="inlineStr">
        <is>
          <t>Insight Global payroll</t>
        </is>
      </c>
      <c r="D8" s="6" t="inlineStr">
        <is>
          <t>weekly</t>
        </is>
      </c>
      <c r="E8" s="7" t="n">
        <v>2016.06</v>
      </c>
      <c r="F8" s="6" t="inlineStr">
        <is>
          <t>UNVERIFIED - flagged needs_review</t>
        </is>
      </c>
    </row>
    <row r="9">
      <c r="A9" s="5" t="n">
        <v>46624</v>
      </c>
      <c r="B9" s="6" t="inlineStr">
        <is>
          <t>Wed</t>
        </is>
      </c>
      <c r="C9" s="6" t="inlineStr">
        <is>
          <t>Insight Global payroll</t>
        </is>
      </c>
      <c r="D9" s="6" t="inlineStr">
        <is>
          <t>weekly</t>
        </is>
      </c>
      <c r="E9" s="7" t="n">
        <v>2016.06</v>
      </c>
      <c r="F9" s="6" t="inlineStr">
        <is>
          <t>UNVERIFIED - flagged needs_review</t>
        </is>
      </c>
    </row>
    <row r="10">
      <c r="A10" s="8" t="n"/>
      <c r="B10" s="8" t="n"/>
      <c r="C10" s="9" t="inlineStr">
        <is>
          <t>Total money in</t>
        </is>
      </c>
      <c r="D10" s="8" t="n"/>
      <c r="E10" s="10">
        <f>SUM(E6:E9)</f>
        <v/>
      </c>
      <c r="F10" s="8" t="n"/>
    </row>
    <row r="12">
      <c r="A12" s="3" t="inlineStr">
        <is>
          <t>MONEY OUT</t>
        </is>
      </c>
    </row>
    <row r="13">
      <c r="A13" s="4" t="inlineStr">
        <is>
          <t>Due date</t>
        </is>
      </c>
      <c r="B13" s="4" t="inlineStr">
        <is>
          <t>Day</t>
        </is>
      </c>
      <c r="C13" s="4" t="inlineStr">
        <is>
          <t>Bill / payee</t>
        </is>
      </c>
      <c r="D13" s="4" t="inlineStr">
        <is>
          <t>Category</t>
        </is>
      </c>
      <c r="E13" s="4" t="inlineStr">
        <is>
          <t>Frequency</t>
        </is>
      </c>
      <c r="F13" s="4" t="inlineStr">
        <is>
          <t>Budget</t>
        </is>
      </c>
      <c r="G13" s="4" t="inlineStr">
        <is>
          <t>Stored</t>
        </is>
      </c>
      <c r="H13" s="4" t="inlineStr">
        <is>
          <t>Basis</t>
        </is>
      </c>
      <c r="I13" s="4" t="inlineStr">
        <is>
          <t>Movability</t>
        </is>
      </c>
      <c r="J13" s="4" t="inlineStr">
        <is>
          <t>Autopay</t>
        </is>
      </c>
      <c r="K13" s="4" t="inlineStr">
        <is>
          <t>Historical range seen</t>
        </is>
      </c>
    </row>
    <row r="14">
      <c r="A14" s="5" t="n">
        <v>46600</v>
      </c>
      <c r="B14" s="6" t="inlineStr">
        <is>
          <t>Sun</t>
        </is>
      </c>
      <c r="C14" s="6" t="inlineStr">
        <is>
          <t>Groceries</t>
        </is>
      </c>
      <c r="D14" s="6" t="inlineStr">
        <is>
          <t>2 Essential</t>
        </is>
      </c>
      <c r="E14" s="6" t="inlineStr">
        <is>
          <t>weekly</t>
        </is>
      </c>
      <c r="F14" s="11" t="n">
        <v>319.09</v>
      </c>
      <c r="G14" s="7" t="n">
        <v>319.09</v>
      </c>
      <c r="H14" s="6" t="inlineStr">
        <is>
          <t>Stated amount</t>
        </is>
      </c>
      <c r="I14" s="12" t="inlineStr">
        <is>
          <t>FIXED</t>
        </is>
      </c>
      <c r="J14" s="6" t="inlineStr">
        <is>
          <t>no</t>
        </is>
      </c>
      <c r="K14" s="6" t="inlineStr">
        <is>
          <t>12.78 - 791.32</t>
        </is>
      </c>
    </row>
    <row r="15">
      <c r="A15" s="5" t="n">
        <v>46600</v>
      </c>
      <c r="B15" s="6" t="inlineStr">
        <is>
          <t>Sun</t>
        </is>
      </c>
      <c r="C15" s="6" t="inlineStr">
        <is>
          <t>Fuel</t>
        </is>
      </c>
      <c r="D15" s="6" t="inlineStr">
        <is>
          <t>2 Essential</t>
        </is>
      </c>
      <c r="E15" s="6" t="inlineStr">
        <is>
          <t>weekly</t>
        </is>
      </c>
      <c r="F15" s="11" t="n">
        <v>90.77</v>
      </c>
      <c r="G15" s="7" t="n">
        <v>90.77</v>
      </c>
      <c r="H15" s="6" t="inlineStr">
        <is>
          <t>Stated amount</t>
        </is>
      </c>
      <c r="I15" s="12" t="inlineStr">
        <is>
          <t>FIXED</t>
        </is>
      </c>
      <c r="J15" s="6" t="inlineStr">
        <is>
          <t>no</t>
        </is>
      </c>
      <c r="K15" s="6" t="inlineStr">
        <is>
          <t>20.00 - 447.12</t>
        </is>
      </c>
    </row>
    <row r="16">
      <c r="A16" s="5" t="n">
        <v>46602</v>
      </c>
      <c r="B16" s="6" t="inlineStr">
        <is>
          <t>Tue</t>
        </is>
      </c>
      <c r="C16" s="6" t="inlineStr">
        <is>
          <t>JCP&amp;L / FirstEnergy</t>
        </is>
      </c>
      <c r="D16" s="6" t="inlineStr">
        <is>
          <t>2 Essential</t>
        </is>
      </c>
      <c r="E16" s="6" t="inlineStr">
        <is>
          <t>monthly</t>
        </is>
      </c>
      <c r="F16" s="11" t="n">
        <v>418.98</v>
      </c>
      <c r="G16" s="7" t="n">
        <v>418.98</v>
      </c>
      <c r="H16" s="6" t="inlineStr">
        <is>
          <t>Seasonal profile</t>
        </is>
      </c>
      <c r="I16" s="12" t="inlineStr">
        <is>
          <t>FIXED</t>
        </is>
      </c>
      <c r="J16" s="6" t="inlineStr">
        <is>
          <t>no</t>
        </is>
      </c>
      <c r="K16" s="6" t="inlineStr">
        <is>
          <t>130.28 - 489.87</t>
        </is>
      </c>
    </row>
    <row r="17">
      <c r="A17" s="5" t="n">
        <v>46603</v>
      </c>
      <c r="B17" s="6" t="inlineStr">
        <is>
          <t>Wed</t>
        </is>
      </c>
      <c r="C17" s="6" t="inlineStr">
        <is>
          <t>Culligan</t>
        </is>
      </c>
      <c r="D17" s="6" t="inlineStr">
        <is>
          <t>5 Discretionary</t>
        </is>
      </c>
      <c r="E17" s="6" t="inlineStr">
        <is>
          <t>monthly</t>
        </is>
      </c>
      <c r="F17" s="11" t="n">
        <v>307.7</v>
      </c>
      <c r="G17" s="7" t="n">
        <v>40.39</v>
      </c>
      <c r="H17" s="13" t="inlineStr">
        <is>
          <t>Forecast at worst seen</t>
        </is>
      </c>
      <c r="I17" s="6" t="inlineStr">
        <is>
          <t>UNKNOWN</t>
        </is>
      </c>
      <c r="J17" s="6" t="inlineStr">
        <is>
          <t>no</t>
        </is>
      </c>
      <c r="K17" s="6" t="inlineStr">
        <is>
          <t>40.39 - 307.70</t>
        </is>
      </c>
    </row>
    <row r="18">
      <c r="A18" s="5" t="n">
        <v>46603</v>
      </c>
      <c r="B18" s="6" t="inlineStr">
        <is>
          <t>Wed</t>
        </is>
      </c>
      <c r="C18" s="6" t="inlineStr">
        <is>
          <t>TJX Rewards</t>
        </is>
      </c>
      <c r="D18" s="6" t="inlineStr">
        <is>
          <t>5 Discretionary</t>
        </is>
      </c>
      <c r="E18" s="6" t="inlineStr">
        <is>
          <t>monthly</t>
        </is>
      </c>
      <c r="F18" s="11" t="n">
        <v>36</v>
      </c>
      <c r="G18" s="7" t="n">
        <v>36</v>
      </c>
      <c r="H18" s="6" t="inlineStr">
        <is>
          <t>Stated amount</t>
        </is>
      </c>
      <c r="I18" s="6" t="inlineStr">
        <is>
          <t>UNKNOWN</t>
        </is>
      </c>
      <c r="J18" s="6" t="inlineStr">
        <is>
          <t>yes</t>
        </is>
      </c>
      <c r="K18" s="6" t="inlineStr"/>
    </row>
    <row r="19">
      <c r="A19" s="5" t="n">
        <v>46605</v>
      </c>
      <c r="B19" s="6" t="inlineStr">
        <is>
          <t>Fri</t>
        </is>
      </c>
      <c r="C19" s="6" t="inlineStr">
        <is>
          <t>One Main loan</t>
        </is>
      </c>
      <c r="D19" s="6" t="inlineStr">
        <is>
          <t>3 Required debt</t>
        </is>
      </c>
      <c r="E19" s="6" t="inlineStr">
        <is>
          <t>monthly</t>
        </is>
      </c>
      <c r="F19" s="11" t="n">
        <v>388.24</v>
      </c>
      <c r="G19" s="7" t="n">
        <v>388.24</v>
      </c>
      <c r="H19" s="6" t="inlineStr">
        <is>
          <t>Stated amount</t>
        </is>
      </c>
      <c r="I19" s="12" t="inlineStr">
        <is>
          <t>FIXED</t>
        </is>
      </c>
      <c r="J19" s="6" t="inlineStr">
        <is>
          <t>yes</t>
        </is>
      </c>
      <c r="K19" s="6" t="inlineStr"/>
    </row>
    <row r="20">
      <c r="A20" s="5" t="n">
        <v>46607</v>
      </c>
      <c r="B20" s="6" t="inlineStr">
        <is>
          <t>Sun</t>
        </is>
      </c>
      <c r="C20" s="6" t="inlineStr">
        <is>
          <t>Groceries</t>
        </is>
      </c>
      <c r="D20" s="6" t="inlineStr">
        <is>
          <t>2 Essential</t>
        </is>
      </c>
      <c r="E20" s="6" t="inlineStr">
        <is>
          <t>weekly</t>
        </is>
      </c>
      <c r="F20" s="11" t="n">
        <v>319.09</v>
      </c>
      <c r="G20" s="7" t="n">
        <v>319.09</v>
      </c>
      <c r="H20" s="6" t="inlineStr">
        <is>
          <t>Stated amount</t>
        </is>
      </c>
      <c r="I20" s="12" t="inlineStr">
        <is>
          <t>FIXED</t>
        </is>
      </c>
      <c r="J20" s="6" t="inlineStr">
        <is>
          <t>no</t>
        </is>
      </c>
      <c r="K20" s="6" t="inlineStr">
        <is>
          <t>12.78 - 791.32</t>
        </is>
      </c>
    </row>
    <row r="21">
      <c r="A21" s="5" t="n">
        <v>46607</v>
      </c>
      <c r="B21" s="6" t="inlineStr">
        <is>
          <t>Sun</t>
        </is>
      </c>
      <c r="C21" s="6" t="inlineStr">
        <is>
          <t>PNC</t>
        </is>
      </c>
      <c r="D21" s="6" t="inlineStr">
        <is>
          <t>3 Required debt</t>
        </is>
      </c>
      <c r="E21" s="6" t="inlineStr">
        <is>
          <t>monthly</t>
        </is>
      </c>
      <c r="F21" s="11" t="n">
        <v>150</v>
      </c>
      <c r="G21" s="7" t="n">
        <v>70</v>
      </c>
      <c r="H21" s="13" t="inlineStr">
        <is>
          <t>Forecast at worst seen</t>
        </is>
      </c>
      <c r="I21" s="6" t="inlineStr">
        <is>
          <t>UNKNOWN</t>
        </is>
      </c>
      <c r="J21" s="6" t="inlineStr">
        <is>
          <t>no</t>
        </is>
      </c>
      <c r="K21" s="6" t="inlineStr">
        <is>
          <t>70.00 - 150.00</t>
        </is>
      </c>
    </row>
    <row r="22">
      <c r="A22" s="5" t="n">
        <v>46607</v>
      </c>
      <c r="B22" s="6" t="inlineStr">
        <is>
          <t>Sun</t>
        </is>
      </c>
      <c r="C22" s="6" t="inlineStr">
        <is>
          <t>Fuel</t>
        </is>
      </c>
      <c r="D22" s="6" t="inlineStr">
        <is>
          <t>2 Essential</t>
        </is>
      </c>
      <c r="E22" s="6" t="inlineStr">
        <is>
          <t>weekly</t>
        </is>
      </c>
      <c r="F22" s="11" t="n">
        <v>90.77</v>
      </c>
      <c r="G22" s="7" t="n">
        <v>90.77</v>
      </c>
      <c r="H22" s="6" t="inlineStr">
        <is>
          <t>Stated amount</t>
        </is>
      </c>
      <c r="I22" s="12" t="inlineStr">
        <is>
          <t>FIXED</t>
        </is>
      </c>
      <c r="J22" s="6" t="inlineStr">
        <is>
          <t>no</t>
        </is>
      </c>
      <c r="K22" s="6" t="inlineStr">
        <is>
          <t>20.00 - 447.12</t>
        </is>
      </c>
    </row>
    <row r="23">
      <c r="A23" s="5" t="n">
        <v>46608</v>
      </c>
      <c r="B23" s="6" t="inlineStr">
        <is>
          <t>Mon</t>
        </is>
      </c>
      <c r="C23" s="6" t="inlineStr">
        <is>
          <t>Mortgage</t>
        </is>
      </c>
      <c r="D23" s="6" t="inlineStr">
        <is>
          <t>1 Secured/critical</t>
        </is>
      </c>
      <c r="E23" s="6" t="inlineStr">
        <is>
          <t>biweekly</t>
        </is>
      </c>
      <c r="F23" s="11" t="n">
        <v>1801.62</v>
      </c>
      <c r="G23" s="7" t="n">
        <v>1801.62</v>
      </c>
      <c r="H23" s="6" t="inlineStr">
        <is>
          <t>Stated amount</t>
        </is>
      </c>
      <c r="I23" s="12" t="inlineStr">
        <is>
          <t>FIXED</t>
        </is>
      </c>
      <c r="J23" s="6" t="inlineStr">
        <is>
          <t>no</t>
        </is>
      </c>
      <c r="K23" s="6" t="inlineStr"/>
    </row>
    <row r="24">
      <c r="A24" s="5" t="n">
        <v>46610</v>
      </c>
      <c r="B24" s="6" t="inlineStr">
        <is>
          <t>Wed</t>
        </is>
      </c>
      <c r="C24" s="6" t="inlineStr">
        <is>
          <t>Elizabethtown Gas</t>
        </is>
      </c>
      <c r="D24" s="6" t="inlineStr">
        <is>
          <t>2 Essential</t>
        </is>
      </c>
      <c r="E24" s="6" t="inlineStr">
        <is>
          <t>monthly</t>
        </is>
      </c>
      <c r="F24" s="11" t="n">
        <v>54.03</v>
      </c>
      <c r="G24" s="7" t="n">
        <v>54.03</v>
      </c>
      <c r="H24" s="6" t="inlineStr">
        <is>
          <t>Seasonal profile</t>
        </is>
      </c>
      <c r="I24" s="12" t="inlineStr">
        <is>
          <t>FIXED</t>
        </is>
      </c>
      <c r="J24" s="6" t="inlineStr">
        <is>
          <t>no</t>
        </is>
      </c>
      <c r="K24" s="6" t="inlineStr">
        <is>
          <t>54.03 - 550.83</t>
        </is>
      </c>
    </row>
    <row r="25">
      <c r="A25" s="5" t="n">
        <v>46610</v>
      </c>
      <c r="B25" s="6" t="inlineStr">
        <is>
          <t>Wed</t>
        </is>
      </c>
      <c r="C25" s="6" t="inlineStr">
        <is>
          <t>T-Mobile Lia</t>
        </is>
      </c>
      <c r="D25" s="6" t="inlineStr">
        <is>
          <t>2 Essential</t>
        </is>
      </c>
      <c r="E25" s="6" t="inlineStr">
        <is>
          <t>monthly</t>
        </is>
      </c>
      <c r="F25" s="11" t="n">
        <v>20.75</v>
      </c>
      <c r="G25" s="7" t="n">
        <v>20.75</v>
      </c>
      <c r="H25" s="6" t="inlineStr">
        <is>
          <t>Stated amount</t>
        </is>
      </c>
      <c r="I25" s="6" t="inlineStr">
        <is>
          <t>UNKNOWN</t>
        </is>
      </c>
      <c r="J25" s="6" t="inlineStr">
        <is>
          <t>yes</t>
        </is>
      </c>
      <c r="K25" s="6" t="inlineStr"/>
    </row>
    <row r="26">
      <c r="A26" s="5" t="n">
        <v>46611</v>
      </c>
      <c r="B26" s="6" t="inlineStr">
        <is>
          <t>Thu</t>
        </is>
      </c>
      <c r="C26" s="6" t="inlineStr">
        <is>
          <t>Hanover Auto</t>
        </is>
      </c>
      <c r="D26" s="6" t="inlineStr">
        <is>
          <t>2 Essential</t>
        </is>
      </c>
      <c r="E26" s="6" t="inlineStr">
        <is>
          <t>monthly</t>
        </is>
      </c>
      <c r="F26" s="11" t="n">
        <v>513.27</v>
      </c>
      <c r="G26" s="7" t="n">
        <v>513.27</v>
      </c>
      <c r="H26" s="6" t="inlineStr">
        <is>
          <t>Stated amount</t>
        </is>
      </c>
      <c r="I26" s="12" t="inlineStr">
        <is>
          <t>FIXED</t>
        </is>
      </c>
      <c r="J26" s="6" t="inlineStr">
        <is>
          <t>no</t>
        </is>
      </c>
      <c r="K26" s="6" t="inlineStr"/>
    </row>
    <row r="27">
      <c r="A27" s="5" t="n">
        <v>46611</v>
      </c>
      <c r="B27" s="6" t="inlineStr">
        <is>
          <t>Thu</t>
        </is>
      </c>
      <c r="C27" s="6" t="inlineStr">
        <is>
          <t>Comenity</t>
        </is>
      </c>
      <c r="D27" s="6" t="inlineStr">
        <is>
          <t>3 Required debt</t>
        </is>
      </c>
      <c r="E27" s="6" t="inlineStr">
        <is>
          <t>monthly</t>
        </is>
      </c>
      <c r="F27" s="11" t="n">
        <v>65</v>
      </c>
      <c r="G27" s="7" t="n">
        <v>50</v>
      </c>
      <c r="H27" s="13" t="inlineStr">
        <is>
          <t>Forecast at worst seen</t>
        </is>
      </c>
      <c r="I27" s="6" t="inlineStr">
        <is>
          <t>UNKNOWN</t>
        </is>
      </c>
      <c r="J27" s="6" t="inlineStr">
        <is>
          <t>no</t>
        </is>
      </c>
      <c r="K27" s="6" t="inlineStr">
        <is>
          <t>40.00 - 65.00</t>
        </is>
      </c>
    </row>
    <row r="28">
      <c r="A28" s="5" t="n">
        <v>46613</v>
      </c>
      <c r="B28" s="6" t="inlineStr">
        <is>
          <t>Sat</t>
        </is>
      </c>
      <c r="C28" s="6" t="inlineStr">
        <is>
          <t>Home Depot</t>
        </is>
      </c>
      <c r="D28" s="6" t="inlineStr">
        <is>
          <t>5 Discretionary</t>
        </is>
      </c>
      <c r="E28" s="6" t="inlineStr">
        <is>
          <t>monthly</t>
        </is>
      </c>
      <c r="F28" s="11" t="n">
        <v>100</v>
      </c>
      <c r="G28" s="7" t="n">
        <v>100</v>
      </c>
      <c r="H28" s="6" t="inlineStr">
        <is>
          <t>Stated amount</t>
        </is>
      </c>
      <c r="I28" s="6" t="inlineStr">
        <is>
          <t>UNKNOWN</t>
        </is>
      </c>
      <c r="J28" s="6" t="inlineStr">
        <is>
          <t>yes</t>
        </is>
      </c>
      <c r="K28" s="6" t="inlineStr">
        <is>
          <t>32.70 - 100.00</t>
        </is>
      </c>
    </row>
    <row r="29">
      <c r="A29" s="5" t="n">
        <v>46614</v>
      </c>
      <c r="B29" s="6" t="inlineStr">
        <is>
          <t>Sun</t>
        </is>
      </c>
      <c r="C29" s="6" t="inlineStr">
        <is>
          <t>Loew &amp; Patel braces</t>
        </is>
      </c>
      <c r="D29" s="6" t="inlineStr">
        <is>
          <t>4 Scheduled</t>
        </is>
      </c>
      <c r="E29" s="6" t="inlineStr">
        <is>
          <t>monthly</t>
        </is>
      </c>
      <c r="F29" s="11" t="n">
        <v>400</v>
      </c>
      <c r="G29" s="7" t="n">
        <v>400</v>
      </c>
      <c r="H29" s="6" t="inlineStr">
        <is>
          <t>Stated amount</t>
        </is>
      </c>
      <c r="I29" s="6" t="inlineStr">
        <is>
          <t>UNKNOWN</t>
        </is>
      </c>
      <c r="J29" s="6" t="inlineStr">
        <is>
          <t>no</t>
        </is>
      </c>
      <c r="K29" s="6" t="inlineStr">
        <is>
          <t>15.00 - 0.00</t>
        </is>
      </c>
    </row>
    <row r="30">
      <c r="A30" s="5" t="n">
        <v>46614</v>
      </c>
      <c r="B30" s="6" t="inlineStr">
        <is>
          <t>Sun</t>
        </is>
      </c>
      <c r="C30" s="6" t="inlineStr">
        <is>
          <t>Groceries</t>
        </is>
      </c>
      <c r="D30" s="6" t="inlineStr">
        <is>
          <t>2 Essential</t>
        </is>
      </c>
      <c r="E30" s="6" t="inlineStr">
        <is>
          <t>weekly</t>
        </is>
      </c>
      <c r="F30" s="11" t="n">
        <v>319.09</v>
      </c>
      <c r="G30" s="7" t="n">
        <v>319.09</v>
      </c>
      <c r="H30" s="6" t="inlineStr">
        <is>
          <t>Stated amount</t>
        </is>
      </c>
      <c r="I30" s="12" t="inlineStr">
        <is>
          <t>FIXED</t>
        </is>
      </c>
      <c r="J30" s="6" t="inlineStr">
        <is>
          <t>no</t>
        </is>
      </c>
      <c r="K30" s="6" t="inlineStr">
        <is>
          <t>12.78 - 791.32</t>
        </is>
      </c>
    </row>
    <row r="31">
      <c r="A31" s="5" t="n">
        <v>46614</v>
      </c>
      <c r="B31" s="6" t="inlineStr">
        <is>
          <t>Sun</t>
        </is>
      </c>
      <c r="C31" s="6" t="inlineStr">
        <is>
          <t>Upstart debt consol</t>
        </is>
      </c>
      <c r="D31" s="6" t="inlineStr">
        <is>
          <t>3 Required debt</t>
        </is>
      </c>
      <c r="E31" s="6" t="inlineStr">
        <is>
          <t>monthly</t>
        </is>
      </c>
      <c r="F31" s="11" t="n">
        <v>161</v>
      </c>
      <c r="G31" s="7" t="n">
        <v>161</v>
      </c>
      <c r="H31" s="6" t="inlineStr">
        <is>
          <t>Stated amount</t>
        </is>
      </c>
      <c r="I31" s="12" t="inlineStr">
        <is>
          <t>FIXED</t>
        </is>
      </c>
      <c r="J31" s="6" t="inlineStr">
        <is>
          <t>yes</t>
        </is>
      </c>
      <c r="K31" s="6" t="inlineStr"/>
    </row>
    <row r="32">
      <c r="A32" s="5" t="n">
        <v>46614</v>
      </c>
      <c r="B32" s="6" t="inlineStr">
        <is>
          <t>Sun</t>
        </is>
      </c>
      <c r="C32" s="6" t="inlineStr">
        <is>
          <t>Fuel</t>
        </is>
      </c>
      <c r="D32" s="6" t="inlineStr">
        <is>
          <t>2 Essential</t>
        </is>
      </c>
      <c r="E32" s="6" t="inlineStr">
        <is>
          <t>weekly</t>
        </is>
      </c>
      <c r="F32" s="11" t="n">
        <v>90.77</v>
      </c>
      <c r="G32" s="7" t="n">
        <v>90.77</v>
      </c>
      <c r="H32" s="6" t="inlineStr">
        <is>
          <t>Stated amount</t>
        </is>
      </c>
      <c r="I32" s="12" t="inlineStr">
        <is>
          <t>FIXED</t>
        </is>
      </c>
      <c r="J32" s="6" t="inlineStr">
        <is>
          <t>no</t>
        </is>
      </c>
      <c r="K32" s="6" t="inlineStr">
        <is>
          <t>20.00 - 447.12</t>
        </is>
      </c>
    </row>
    <row r="33">
      <c r="A33" s="5" t="n">
        <v>46616</v>
      </c>
      <c r="B33" s="6" t="inlineStr">
        <is>
          <t>Tue</t>
        </is>
      </c>
      <c r="C33" s="6" t="inlineStr">
        <is>
          <t>Capital One CC</t>
        </is>
      </c>
      <c r="D33" s="6" t="inlineStr">
        <is>
          <t>3 Required debt</t>
        </is>
      </c>
      <c r="E33" s="6" t="inlineStr">
        <is>
          <t>monthly</t>
        </is>
      </c>
      <c r="F33" s="11" t="n">
        <v>163</v>
      </c>
      <c r="G33" s="7" t="n">
        <v>105</v>
      </c>
      <c r="H33" s="14" t="inlineStr">
        <is>
          <t>SUPERSEDED - see notes</t>
        </is>
      </c>
      <c r="I33" s="6" t="inlineStr">
        <is>
          <t>UNKNOWN</t>
        </is>
      </c>
      <c r="J33" s="6" t="inlineStr">
        <is>
          <t>yes</t>
        </is>
      </c>
      <c r="K33" s="6" t="inlineStr">
        <is>
          <t>154.00 - 163.00</t>
        </is>
      </c>
    </row>
    <row r="34">
      <c r="A34" s="5" t="n">
        <v>46616</v>
      </c>
      <c r="B34" s="6" t="inlineStr">
        <is>
          <t>Tue</t>
        </is>
      </c>
      <c r="C34" s="6" t="inlineStr">
        <is>
          <t>Chase CC Amazon</t>
        </is>
      </c>
      <c r="D34" s="6" t="inlineStr">
        <is>
          <t>3 Required debt</t>
        </is>
      </c>
      <c r="E34" s="6" t="inlineStr">
        <is>
          <t>monthly</t>
        </is>
      </c>
      <c r="F34" s="11" t="n">
        <v>136</v>
      </c>
      <c r="G34" s="7" t="n">
        <v>80</v>
      </c>
      <c r="H34" s="14" t="inlineStr">
        <is>
          <t>SUPERSEDED - see notes</t>
        </is>
      </c>
      <c r="I34" s="6" t="inlineStr">
        <is>
          <t>UNKNOWN</t>
        </is>
      </c>
      <c r="J34" s="6" t="inlineStr">
        <is>
          <t>yes</t>
        </is>
      </c>
      <c r="K34" s="6" t="inlineStr">
        <is>
          <t>124.00 - 136.00</t>
        </is>
      </c>
    </row>
    <row r="35">
      <c r="A35" s="5" t="n">
        <v>46617</v>
      </c>
      <c r="B35" s="6" t="inlineStr">
        <is>
          <t>Wed</t>
        </is>
      </c>
      <c r="C35" s="6" t="inlineStr">
        <is>
          <t>CCU car loan</t>
        </is>
      </c>
      <c r="D35" s="6" t="inlineStr">
        <is>
          <t>1 Secured/critical</t>
        </is>
      </c>
      <c r="E35" s="6" t="inlineStr">
        <is>
          <t>monthly</t>
        </is>
      </c>
      <c r="F35" s="11" t="n">
        <v>306.9</v>
      </c>
      <c r="G35" s="7" t="n">
        <v>306.9</v>
      </c>
      <c r="H35" s="6" t="inlineStr">
        <is>
          <t>Stated amount</t>
        </is>
      </c>
      <c r="I35" s="12" t="inlineStr">
        <is>
          <t>FIXED</t>
        </is>
      </c>
      <c r="J35" s="6" t="inlineStr">
        <is>
          <t>yes</t>
        </is>
      </c>
      <c r="K35" s="6" t="inlineStr"/>
    </row>
    <row r="36">
      <c r="A36" s="5" t="n">
        <v>46617</v>
      </c>
      <c r="B36" s="6" t="inlineStr">
        <is>
          <t>Wed</t>
        </is>
      </c>
      <c r="C36" s="6" t="inlineStr">
        <is>
          <t>Comcast</t>
        </is>
      </c>
      <c r="D36" s="6" t="inlineStr">
        <is>
          <t>2 Essential</t>
        </is>
      </c>
      <c r="E36" s="6" t="inlineStr">
        <is>
          <t>monthly</t>
        </is>
      </c>
      <c r="F36" s="11" t="n">
        <v>138.93</v>
      </c>
      <c r="G36" s="7" t="n">
        <v>138.93</v>
      </c>
      <c r="H36" s="6" t="inlineStr">
        <is>
          <t>Stated amount</t>
        </is>
      </c>
      <c r="I36" s="6" t="inlineStr">
        <is>
          <t>UNKNOWN</t>
        </is>
      </c>
      <c r="J36" s="6" t="inlineStr">
        <is>
          <t>yes</t>
        </is>
      </c>
      <c r="K36" s="6" t="inlineStr"/>
    </row>
    <row r="37">
      <c r="A37" s="5" t="n">
        <v>46617</v>
      </c>
      <c r="B37" s="6" t="inlineStr">
        <is>
          <t>Wed</t>
        </is>
      </c>
      <c r="C37" s="6" t="inlineStr">
        <is>
          <t>Lowes</t>
        </is>
      </c>
      <c r="D37" s="6" t="inlineStr">
        <is>
          <t>5 Discretionary</t>
        </is>
      </c>
      <c r="E37" s="6" t="inlineStr">
        <is>
          <t>monthly</t>
        </is>
      </c>
      <c r="F37" s="11" t="n">
        <v>126</v>
      </c>
      <c r="G37" s="7" t="n">
        <v>69</v>
      </c>
      <c r="H37" s="14" t="inlineStr">
        <is>
          <t>SUPERSEDED - see notes</t>
        </is>
      </c>
      <c r="I37" s="6" t="inlineStr">
        <is>
          <t>UNKNOWN</t>
        </is>
      </c>
      <c r="J37" s="6" t="inlineStr">
        <is>
          <t>yes</t>
        </is>
      </c>
      <c r="K37" s="6" t="inlineStr">
        <is>
          <t>122.00 - 126.00</t>
        </is>
      </c>
    </row>
    <row r="38">
      <c r="A38" s="5" t="n">
        <v>46617</v>
      </c>
      <c r="B38" s="6" t="inlineStr">
        <is>
          <t>Wed</t>
        </is>
      </c>
      <c r="C38" s="6" t="inlineStr">
        <is>
          <t>Upgrade basement</t>
        </is>
      </c>
      <c r="D38" s="6" t="inlineStr">
        <is>
          <t>3 Required debt</t>
        </is>
      </c>
      <c r="E38" s="6" t="inlineStr">
        <is>
          <t>monthly</t>
        </is>
      </c>
      <c r="F38" s="11" t="n">
        <v>86.36</v>
      </c>
      <c r="G38" s="7" t="n">
        <v>86.36</v>
      </c>
      <c r="H38" s="6" t="inlineStr">
        <is>
          <t>Stated amount</t>
        </is>
      </c>
      <c r="I38" s="12" t="inlineStr">
        <is>
          <t>FIXED</t>
        </is>
      </c>
      <c r="J38" s="6" t="inlineStr">
        <is>
          <t>yes</t>
        </is>
      </c>
      <c r="K38" s="6" t="inlineStr"/>
    </row>
    <row r="39">
      <c r="A39" s="5" t="n">
        <v>46618</v>
      </c>
      <c r="B39" s="6" t="inlineStr">
        <is>
          <t>Thu</t>
        </is>
      </c>
      <c r="C39" s="6" t="inlineStr">
        <is>
          <t>IRS state</t>
        </is>
      </c>
      <c r="D39" s="6" t="inlineStr">
        <is>
          <t>2 Essential</t>
        </is>
      </c>
      <c r="E39" s="6" t="inlineStr">
        <is>
          <t>monthly</t>
        </is>
      </c>
      <c r="F39" s="11" t="n">
        <v>114</v>
      </c>
      <c r="G39" s="7" t="n">
        <v>114</v>
      </c>
      <c r="H39" s="6" t="inlineStr">
        <is>
          <t>Stated amount</t>
        </is>
      </c>
      <c r="I39" s="12" t="inlineStr">
        <is>
          <t>FIXED</t>
        </is>
      </c>
      <c r="J39" s="6" t="inlineStr">
        <is>
          <t>no</t>
        </is>
      </c>
      <c r="K39" s="6" t="inlineStr"/>
    </row>
    <row r="40">
      <c r="A40" s="5" t="n">
        <v>46618</v>
      </c>
      <c r="B40" s="6" t="inlineStr">
        <is>
          <t>Thu</t>
        </is>
      </c>
      <c r="C40" s="6" t="inlineStr">
        <is>
          <t>IRS federal</t>
        </is>
      </c>
      <c r="D40" s="6" t="inlineStr">
        <is>
          <t>2 Essential</t>
        </is>
      </c>
      <c r="E40" s="6" t="inlineStr">
        <is>
          <t>monthly</t>
        </is>
      </c>
      <c r="F40" s="11" t="n">
        <v>103</v>
      </c>
      <c r="G40" s="7" t="n">
        <v>103</v>
      </c>
      <c r="H40" s="6" t="inlineStr">
        <is>
          <t>Stated amount</t>
        </is>
      </c>
      <c r="I40" s="12" t="inlineStr">
        <is>
          <t>FIXED</t>
        </is>
      </c>
      <c r="J40" s="6" t="inlineStr">
        <is>
          <t>no</t>
        </is>
      </c>
      <c r="K40" s="6" t="inlineStr"/>
    </row>
    <row r="41">
      <c r="A41" s="5" t="n">
        <v>46621</v>
      </c>
      <c r="B41" s="6" t="inlineStr">
        <is>
          <t>Sun</t>
        </is>
      </c>
      <c r="C41" s="6" t="inlineStr">
        <is>
          <t>Groceries</t>
        </is>
      </c>
      <c r="D41" s="6" t="inlineStr">
        <is>
          <t>2 Essential</t>
        </is>
      </c>
      <c r="E41" s="6" t="inlineStr">
        <is>
          <t>weekly</t>
        </is>
      </c>
      <c r="F41" s="11" t="n">
        <v>319.09</v>
      </c>
      <c r="G41" s="7" t="n">
        <v>319.09</v>
      </c>
      <c r="H41" s="6" t="inlineStr">
        <is>
          <t>Stated amount</t>
        </is>
      </c>
      <c r="I41" s="12" t="inlineStr">
        <is>
          <t>FIXED</t>
        </is>
      </c>
      <c r="J41" s="6" t="inlineStr">
        <is>
          <t>no</t>
        </is>
      </c>
      <c r="K41" s="6" t="inlineStr">
        <is>
          <t>12.78 - 791.32</t>
        </is>
      </c>
    </row>
    <row r="42">
      <c r="A42" s="5" t="n">
        <v>46621</v>
      </c>
      <c r="B42" s="6" t="inlineStr">
        <is>
          <t>Sun</t>
        </is>
      </c>
      <c r="C42" s="6" t="inlineStr">
        <is>
          <t>Fuel</t>
        </is>
      </c>
      <c r="D42" s="6" t="inlineStr">
        <is>
          <t>2 Essential</t>
        </is>
      </c>
      <c r="E42" s="6" t="inlineStr">
        <is>
          <t>weekly</t>
        </is>
      </c>
      <c r="F42" s="11" t="n">
        <v>90.77</v>
      </c>
      <c r="G42" s="7" t="n">
        <v>90.77</v>
      </c>
      <c r="H42" s="6" t="inlineStr">
        <is>
          <t>Stated amount</t>
        </is>
      </c>
      <c r="I42" s="12" t="inlineStr">
        <is>
          <t>FIXED</t>
        </is>
      </c>
      <c r="J42" s="6" t="inlineStr">
        <is>
          <t>no</t>
        </is>
      </c>
      <c r="K42" s="6" t="inlineStr">
        <is>
          <t>20.00 - 447.12</t>
        </is>
      </c>
    </row>
    <row r="43">
      <c r="A43" s="5" t="n">
        <v>46621</v>
      </c>
      <c r="B43" s="6" t="inlineStr">
        <is>
          <t>Sun</t>
        </is>
      </c>
      <c r="C43" s="6" t="inlineStr">
        <is>
          <t>Chase CC United</t>
        </is>
      </c>
      <c r="D43" s="6" t="inlineStr">
        <is>
          <t>3 Required debt</t>
        </is>
      </c>
      <c r="E43" s="6" t="inlineStr">
        <is>
          <t>monthly</t>
        </is>
      </c>
      <c r="F43" s="11" t="n">
        <v>88</v>
      </c>
      <c r="G43" s="7" t="n">
        <v>46</v>
      </c>
      <c r="H43" s="14" t="inlineStr">
        <is>
          <t>SUPERSEDED - see notes</t>
        </is>
      </c>
      <c r="I43" s="6" t="inlineStr">
        <is>
          <t>UNKNOWN</t>
        </is>
      </c>
      <c r="J43" s="6" t="inlineStr">
        <is>
          <t>yes</t>
        </is>
      </c>
      <c r="K43" s="6" t="inlineStr">
        <is>
          <t>76.00 - 88.00</t>
        </is>
      </c>
    </row>
    <row r="44">
      <c r="A44" s="5" t="n">
        <v>46622</v>
      </c>
      <c r="B44" s="6" t="inlineStr">
        <is>
          <t>Mon</t>
        </is>
      </c>
      <c r="C44" s="6" t="inlineStr">
        <is>
          <t>Mortgage</t>
        </is>
      </c>
      <c r="D44" s="6" t="inlineStr">
        <is>
          <t>1 Secured/critical</t>
        </is>
      </c>
      <c r="E44" s="6" t="inlineStr">
        <is>
          <t>biweekly</t>
        </is>
      </c>
      <c r="F44" s="11" t="n">
        <v>1801.62</v>
      </c>
      <c r="G44" s="7" t="n">
        <v>1801.62</v>
      </c>
      <c r="H44" s="6" t="inlineStr">
        <is>
          <t>Stated amount</t>
        </is>
      </c>
      <c r="I44" s="12" t="inlineStr">
        <is>
          <t>FIXED</t>
        </is>
      </c>
      <c r="J44" s="6" t="inlineStr">
        <is>
          <t>no</t>
        </is>
      </c>
      <c r="K44" s="6" t="inlineStr"/>
    </row>
    <row r="45">
      <c r="A45" s="5" t="n">
        <v>46622</v>
      </c>
      <c r="B45" s="6" t="inlineStr">
        <is>
          <t>Mon</t>
        </is>
      </c>
      <c r="C45" s="6" t="inlineStr">
        <is>
          <t>Netflix</t>
        </is>
      </c>
      <c r="D45" s="6" t="inlineStr">
        <is>
          <t>5 Discretionary</t>
        </is>
      </c>
      <c r="E45" s="6" t="inlineStr">
        <is>
          <t>monthly</t>
        </is>
      </c>
      <c r="F45" s="11" t="n">
        <v>21.31</v>
      </c>
      <c r="G45" s="7" t="n">
        <v>21.31</v>
      </c>
      <c r="H45" s="6" t="inlineStr">
        <is>
          <t>Stated amount</t>
        </is>
      </c>
      <c r="I45" s="6" t="inlineStr">
        <is>
          <t>UNKNOWN</t>
        </is>
      </c>
      <c r="J45" s="6" t="inlineStr">
        <is>
          <t>yes</t>
        </is>
      </c>
      <c r="K45" s="6" t="inlineStr"/>
    </row>
    <row r="46">
      <c r="A46" s="5" t="n">
        <v>46623</v>
      </c>
      <c r="B46" s="6" t="inlineStr">
        <is>
          <t>Tue</t>
        </is>
      </c>
      <c r="C46" s="6" t="inlineStr">
        <is>
          <t>Kia</t>
        </is>
      </c>
      <c r="D46" s="6" t="inlineStr">
        <is>
          <t>1 Secured/critical</t>
        </is>
      </c>
      <c r="E46" s="6" t="inlineStr">
        <is>
          <t>monthly</t>
        </is>
      </c>
      <c r="F46" s="11" t="n">
        <v>742.65</v>
      </c>
      <c r="G46" s="7" t="n">
        <v>742.65</v>
      </c>
      <c r="H46" s="6" t="inlineStr">
        <is>
          <t>Stated amount</t>
        </is>
      </c>
      <c r="I46" s="12" t="inlineStr">
        <is>
          <t>FIXED</t>
        </is>
      </c>
      <c r="J46" s="6" t="inlineStr">
        <is>
          <t>yes</t>
        </is>
      </c>
      <c r="K46" s="6" t="inlineStr"/>
    </row>
    <row r="47">
      <c r="A47" s="5" t="n">
        <v>46623</v>
      </c>
      <c r="B47" s="6" t="inlineStr">
        <is>
          <t>Tue</t>
        </is>
      </c>
      <c r="C47" s="6" t="inlineStr">
        <is>
          <t>Upstart past bills (from Sep)</t>
        </is>
      </c>
      <c r="D47" s="6" t="inlineStr">
        <is>
          <t>3 Required debt</t>
        </is>
      </c>
      <c r="E47" s="6" t="inlineStr">
        <is>
          <t>monthly</t>
        </is>
      </c>
      <c r="F47" s="11" t="n">
        <v>337.61</v>
      </c>
      <c r="G47" s="7" t="n">
        <v>337.61</v>
      </c>
      <c r="H47" s="6" t="inlineStr">
        <is>
          <t>Stated amount</t>
        </is>
      </c>
      <c r="I47" s="12" t="inlineStr">
        <is>
          <t>FIXED</t>
        </is>
      </c>
      <c r="J47" s="6" t="inlineStr">
        <is>
          <t>yes</t>
        </is>
      </c>
      <c r="K47" s="6" t="inlineStr"/>
    </row>
    <row r="48">
      <c r="A48" s="5" t="n">
        <v>46626</v>
      </c>
      <c r="B48" s="6" t="inlineStr">
        <is>
          <t>Fri</t>
        </is>
      </c>
      <c r="C48" s="6" t="inlineStr">
        <is>
          <t>Barclay Old Navy</t>
        </is>
      </c>
      <c r="D48" s="6" t="inlineStr">
        <is>
          <t>3 Required debt</t>
        </is>
      </c>
      <c r="E48" s="6" t="inlineStr">
        <is>
          <t>monthly</t>
        </is>
      </c>
      <c r="F48" s="11" t="n">
        <v>84.78</v>
      </c>
      <c r="G48" s="7" t="n">
        <v>60.74</v>
      </c>
      <c r="H48" s="13" t="inlineStr">
        <is>
          <t>Forecast at worst seen</t>
        </is>
      </c>
      <c r="I48" s="6" t="inlineStr">
        <is>
          <t>UNKNOWN</t>
        </is>
      </c>
      <c r="J48" s="6" t="inlineStr">
        <is>
          <t>yes</t>
        </is>
      </c>
      <c r="K48" s="6" t="inlineStr">
        <is>
          <t>52.98 - 84.78</t>
        </is>
      </c>
    </row>
    <row r="49">
      <c r="A49" s="5" t="n">
        <v>46628</v>
      </c>
      <c r="B49" s="6" t="inlineStr">
        <is>
          <t>Sun</t>
        </is>
      </c>
      <c r="C49" s="6" t="inlineStr">
        <is>
          <t>Groceries</t>
        </is>
      </c>
      <c r="D49" s="6" t="inlineStr">
        <is>
          <t>2 Essential</t>
        </is>
      </c>
      <c r="E49" s="6" t="inlineStr">
        <is>
          <t>weekly</t>
        </is>
      </c>
      <c r="F49" s="11" t="n">
        <v>319.09</v>
      </c>
      <c r="G49" s="7" t="n">
        <v>319.09</v>
      </c>
      <c r="H49" s="6" t="inlineStr">
        <is>
          <t>Stated amount</t>
        </is>
      </c>
      <c r="I49" s="12" t="inlineStr">
        <is>
          <t>FIXED</t>
        </is>
      </c>
      <c r="J49" s="6" t="inlineStr">
        <is>
          <t>no</t>
        </is>
      </c>
      <c r="K49" s="6" t="inlineStr">
        <is>
          <t>12.78 - 791.32</t>
        </is>
      </c>
    </row>
    <row r="50">
      <c r="A50" s="5" t="n">
        <v>46628</v>
      </c>
      <c r="B50" s="6" t="inlineStr">
        <is>
          <t>Sun</t>
        </is>
      </c>
      <c r="C50" s="6" t="inlineStr">
        <is>
          <t>Fuel</t>
        </is>
      </c>
      <c r="D50" s="6" t="inlineStr">
        <is>
          <t>2 Essential</t>
        </is>
      </c>
      <c r="E50" s="6" t="inlineStr">
        <is>
          <t>weekly</t>
        </is>
      </c>
      <c r="F50" s="11" t="n">
        <v>90.77</v>
      </c>
      <c r="G50" s="7" t="n">
        <v>90.77</v>
      </c>
      <c r="H50" s="6" t="inlineStr">
        <is>
          <t>Stated amount</t>
        </is>
      </c>
      <c r="I50" s="12" t="inlineStr">
        <is>
          <t>FIXED</t>
        </is>
      </c>
      <c r="J50" s="6" t="inlineStr">
        <is>
          <t>no</t>
        </is>
      </c>
      <c r="K50" s="6" t="inlineStr">
        <is>
          <t>20.00 - 447.12</t>
        </is>
      </c>
    </row>
    <row r="51">
      <c r="A51" s="5" t="n">
        <v>46628</v>
      </c>
      <c r="B51" s="6" t="inlineStr">
        <is>
          <t>Sun</t>
        </is>
      </c>
      <c r="C51" s="6" t="inlineStr">
        <is>
          <t>Xfinity Mobile</t>
        </is>
      </c>
      <c r="D51" s="6" t="inlineStr">
        <is>
          <t>2 Essential</t>
        </is>
      </c>
      <c r="E51" s="6" t="inlineStr">
        <is>
          <t>monthly</t>
        </is>
      </c>
      <c r="F51" s="11" t="n">
        <v>88.81999999999999</v>
      </c>
      <c r="G51" s="7" t="n">
        <v>88.81999999999999</v>
      </c>
      <c r="H51" s="6" t="inlineStr">
        <is>
          <t>Stated amount</t>
        </is>
      </c>
      <c r="I51" s="6" t="inlineStr">
        <is>
          <t>UNKNOWN</t>
        </is>
      </c>
      <c r="J51" s="6" t="inlineStr">
        <is>
          <t>yes</t>
        </is>
      </c>
      <c r="K51" s="6" t="inlineStr"/>
    </row>
    <row r="52">
      <c r="A52" s="5" t="n">
        <v>46628</v>
      </c>
      <c r="B52" s="6" t="inlineStr">
        <is>
          <t>Sun</t>
        </is>
      </c>
      <c r="C52" s="6" t="inlineStr">
        <is>
          <t>Affirm</t>
        </is>
      </c>
      <c r="D52" s="6" t="inlineStr">
        <is>
          <t>3 Required debt</t>
        </is>
      </c>
      <c r="E52" s="6" t="inlineStr">
        <is>
          <t>monthly</t>
        </is>
      </c>
      <c r="F52" s="11" t="n">
        <v>73.06999999999999</v>
      </c>
      <c r="G52" s="7" t="n">
        <v>73.06999999999999</v>
      </c>
      <c r="H52" s="6" t="inlineStr">
        <is>
          <t>Stated amount</t>
        </is>
      </c>
      <c r="I52" s="6" t="inlineStr">
        <is>
          <t>UNKNOWN</t>
        </is>
      </c>
      <c r="J52" s="6" t="inlineStr">
        <is>
          <t>yes</t>
        </is>
      </c>
      <c r="K52" s="6" t="inlineStr"/>
    </row>
    <row r="53">
      <c r="A53" s="8" t="n"/>
      <c r="B53" s="8" t="n"/>
      <c r="C53" s="9" t="inlineStr">
        <is>
          <t>Total money out</t>
        </is>
      </c>
      <c r="D53" s="8" t="n"/>
      <c r="E53" s="8" t="n"/>
      <c r="F53" s="10">
        <f>SUM(F14:F52)</f>
        <v/>
      </c>
      <c r="G53" s="10">
        <f>SUM(G14:G52)</f>
        <v/>
      </c>
      <c r="H53" s="8" t="n"/>
      <c r="I53" s="8" t="n"/>
      <c r="J53" s="8" t="n"/>
      <c r="K53" s="8" t="n"/>
    </row>
    <row r="55">
      <c r="A55" s="3" t="inlineStr">
        <is>
          <t>MONTH SUMMARY</t>
        </is>
      </c>
    </row>
    <row r="56">
      <c r="C56" s="6" t="inlineStr">
        <is>
          <t>Money in</t>
        </is>
      </c>
      <c r="D56" s="15" t="n"/>
      <c r="E56" s="15" t="n"/>
      <c r="F56" s="16">
        <f>E10</f>
        <v/>
      </c>
    </row>
    <row r="57">
      <c r="C57" s="6" t="inlineStr">
        <is>
          <t>Money out (budget)</t>
        </is>
      </c>
      <c r="D57" s="15" t="n"/>
      <c r="E57" s="15" t="n"/>
      <c r="F57" s="16">
        <f>F53</f>
        <v/>
      </c>
    </row>
    <row r="58">
      <c r="C58" s="9" t="inlineStr">
        <is>
          <t>Net for the month</t>
        </is>
      </c>
      <c r="D58" s="8" t="n"/>
      <c r="E58" s="8" t="n"/>
      <c r="F58" s="10">
        <f>E10-F53</f>
        <v/>
      </c>
    </row>
    <row r="59">
      <c r="C59" s="6" t="inlineStr">
        <is>
          <t>Money out at stored amounts</t>
        </is>
      </c>
      <c r="D59" s="15" t="n"/>
      <c r="E59" s="15" t="n"/>
      <c r="F59" s="16">
        <f>G53</f>
        <v/>
      </c>
    </row>
    <row r="60">
      <c r="C60" s="6" t="inlineStr">
        <is>
          <t>Over-forecast vs stored</t>
        </is>
      </c>
      <c r="D60" s="15" t="n"/>
      <c r="E60" s="15" t="n"/>
      <c r="F60" s="16">
        <f>F53-G53</f>
        <v/>
      </c>
    </row>
    <row r="62">
      <c r="A62" s="3" t="inlineStr">
        <is>
          <t>NOTES AND ASSUMPTIONS</t>
        </is>
      </c>
    </row>
    <row r="63">
      <c r="A63" s="17" t="inlineStr">
        <is>
          <t>- INCOME SWITCHED OFF: Branchburg BOE payroll (2,829.31 biweekly) is recorded in income.json but NOT counted anywhere in this workbook. If it is actually being received, every monthly net figure here is understated by that amount.</t>
        </is>
      </c>
    </row>
    <row r="64">
      <c r="A64" s="17" t="inlineStr">
        <is>
          <t>- Budget vs Stored: 'Budget' is what the engine forecasts for that date; 'Stored' is the figure recorded in bills.json.</t>
        </is>
      </c>
    </row>
    <row r="65">
      <c r="A65" s="17" t="inlineStr">
        <is>
          <t>- Seasonal profile: gas and electric carry a month-of-year profile built from recent years of statements, so their budget figure changes every month. Neither figure is wrong.</t>
        </is>
      </c>
    </row>
    <row r="66">
      <c r="A66" s="17" t="inlineStr">
        <is>
          <t>- Forecast at worst seen: a variable bill landing monthly or less often is budgeted at the top of its observed range, deliberately, because under-forecasting an outflow is what causes an overdraft.</t>
        </is>
      </c>
    </row>
    <row r="67">
      <c r="A67" s="17" t="inlineStr">
        <is>
          <t>- SUPERSEDED: the engine is forecasting ABOVE an amount the household renegotiated, because the observed maximum predates the correction. Affects four cards and the water bill. This is a defect, not a rule - the Stored column is the agreed figure.</t>
        </is>
      </c>
    </row>
    <row r="68">
      <c r="A68" s="17" t="inlineStr">
        <is>
          <t>- Movability: FIXED means secured or recorded as non-deferrable. UNKNOWN means nothing records how late the payment may safely be, so no date change can be recommended without confirming it.</t>
        </is>
      </c>
    </row>
    <row r="69">
      <c r="A69" s="17" t="inlineStr">
        <is>
          <t>- Weekly items (groceries, fuel) appear once per occurrence, so a five-week month legitimately shows five rows.</t>
        </is>
      </c>
    </row>
    <row r="70">
      <c r="A70" s="17" t="inlineStr">
        <is>
          <t>- Excluded as ended or paid off, kept for history: Affirm large, Trilogy Lacrosse.</t>
        </is>
      </c>
    </row>
  </sheetData>
  <mergeCells count="10">
    <mergeCell ref="A69:K69"/>
    <mergeCell ref="A64:K64"/>
    <mergeCell ref="A65:K65"/>
    <mergeCell ref="A2:K2"/>
    <mergeCell ref="A63:K63"/>
    <mergeCell ref="A68:K68"/>
    <mergeCell ref="A66:K66"/>
    <mergeCell ref="A1:K1"/>
    <mergeCell ref="A70:K70"/>
    <mergeCell ref="A67:K67"/>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2026-08-21T00:02:32Z</dcterms:created>
  <dcterms:modified xsi:type="dcterms:W3CDTF">2026-08-21T00:02:32Z</dcterms:modified>
</cp:coreProperties>
</file>