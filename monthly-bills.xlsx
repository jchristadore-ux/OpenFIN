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ummary" sheetId="1" r:id="rId1"/>
    <sheet name="Bills" sheetId="2" r:id="rId2"/>
    <sheet name="By month" sheetId="3" r:id="rId3"/>
    <sheet name="Category by month" sheetId="4" r:id="rId4"/>
    <sheet name="Excluded and flagged" sheetId="5" r:id="rId5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8">
    <font>
      <sz val="11"/>
      <name val="Calibri"/>
      <family val="2"/>
    </font>
    <font>
      <b/>
      <sz val="18"/>
      <name val="Calibri"/>
      <family val="2"/>
      <color rgb="FF0F2F52"/>
    </font>
    <font>
      <sz val="10"/>
      <name val="Calibri"/>
      <family val="2"/>
      <color rgb="FF6B7280"/>
    </font>
    <font>
      <b/>
      <sz val="11"/>
      <name val="Calibri"/>
      <family val="2"/>
      <color rgb="FFFFFFFF"/>
    </font>
    <font>
      <b/>
      <sz val="12"/>
      <name val="Calibri"/>
      <family val="2"/>
      <color rgb="FF0F2F52"/>
    </font>
    <font>
      <sz val="11"/>
      <name val="Calibri"/>
      <family val="2"/>
      <color rgb="FF6B7280"/>
    </font>
    <font>
      <sz val="9"/>
      <name val="Calibri"/>
      <family val="2"/>
      <color rgb="FF6B7280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EF2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C5CC"/>
      </bottom>
      <diagonal/>
    </border>
    <border>
      <left/>
      <right/>
      <top style="thin">
        <color rgb="FF16365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/>
    <xf numFmtId="0" fontId="2" fillId="0" borderId="0" xfId="0"/>
    <xf numFmtId="0" fontId="3" fillId="2" borderId="0" xfId="0" applyFill="1" applyAlignment="1">
      <alignment horizontal="center" vertical="center" wrapText="1"/>
    </xf>
    <xf numFmtId="0" fontId="3" fillId="2" borderId="0" xfId="0" applyFill="1" applyAlignment="1">
      <alignment vertical="center" wrapText="1"/>
    </xf>
    <xf numFmtId="0" fontId="4" fillId="0" borderId="1" xfId="0" applyBorder="1"/>
    <xf numFmtId="0" fontId="5" fillId="0" borderId="0" xfId="0" applyAlignment="1">
      <alignment indent="1"/>
    </xf>
    <xf numFmtId="0" fontId="6" fillId="0" borderId="0" xfId="0" applyAlignment="1">
      <alignment vertical="top" wrapText="1"/>
    </xf>
    <xf numFmtId="0" fontId="7" fillId="0" borderId="0" xfId="0"/>
    <xf numFmtId="164" fontId="0" fillId="0" borderId="0" xfId="0" applyNumberFormat="1"/>
    <xf numFmtId="164" fontId="7" fillId="0" borderId="0" xfId="0" applyNumberFormat="1"/>
    <xf numFmtId="164" fontId="5" fillId="0" borderId="0" xfId="0" applyNumberFormat="1"/>
    <xf numFmtId="165" fontId="0" fillId="0" borderId="0" xfId="0" applyNumberFormat="1"/>
    <xf numFmtId="166" fontId="0" fillId="0" borderId="0" xfId="0" applyNumberFormat="1"/>
    <xf numFmtId="166" fontId="7" fillId="0" borderId="0" xfId="0" applyNumberFormat="1"/>
    <xf numFmtId="0" fontId="7" fillId="3" borderId="2" xfId="0" applyFill="1" applyBorder="1"/>
    <xf numFmtId="164" fontId="7" fillId="3" borderId="2" xfId="0" applyNumberFormat="1" applyFill="1" applyBorder="1"/>
    <xf numFmtId="166" fontId="7" fillId="3" borderId="2" xfId="0" applyNumberFormat="1" applyFill="1" applyBorder="1"/>
    <xf numFmtId="0" fontId="7" fillId="4" borderId="0" xfId="0" applyFill="1"/>
    <xf numFmtId="164" fontId="7" fillId="4" borderId="0" xfId="0" applyNumberFormat="1" applyFill="1"/>
    <xf numFmtId="0" fontId="0" fillId="0" borderId="0" xfId="0" applyAlignment="1">
      <alignment horizontal="center"/>
    </xf>
    <xf numFmtId="0" fontId="5" fillId="0" borderId="0" xfId="0" applyAlignment="1">
      <alignment horizontal="center"/>
    </xf>
    <xf numFmtId="0" fontId="7" fillId="3" borderId="2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 showGridLines="0">
      <pane ySplit="3" topLeftCell="A4" activePane="bottomLeft" state="frozen"/>
    </sheetView>
  </sheetViews>
  <sheetFormatPr defaultRowHeight="15"/>
  <cols>
    <col min="1" max="1" width="34.00" customWidth="1"/>
    <col min="2" max="2" width="15.00" customWidth="1"/>
    <col min="3" max="3" width="15.00" customWidth="1"/>
    <col min="4" max="4" width="11.00" customWidth="1"/>
    <col min="5" max="5" width="44.00" customWidth="1"/>
  </cols>
  <sheetData>
    <row r="1" ht="26.00" customHeight="1">
      <c r="A1" s="1" t="inlineStr">
        <is>
          <t xml:space="preserve">Monthly bills</t>
        </is>
      </c>
    </row>
    <row r="2">
      <c r="A2" s="2" t="inlineStr">
        <is>
          <t xml:space="preserve">September 2026 to August 2027 - 41 active obligations from bills.json, read 2026-09-21</t>
        </is>
      </c>
    </row>
    <row r="3">
      <c r="A3" s="2" t="inlineStr">
        <is>
          <t xml:space="preserve">Generated 21 Sep 2026 20:19. Per month = twelve-month total / 12.</t>
        </is>
      </c>
    </row>
    <row r="5">
      <c r="A5" s="5" t="inlineStr">
        <is>
          <t xml:space="preserve">Headline</t>
        </is>
      </c>
    </row>
    <row r="6" ht="28.00" customHeight="1">
      <c r="A6" s="4"/>
      <c r="B6" s="3" t="inlineStr">
        <is>
          <t xml:space="preserve">Per month</t>
        </is>
      </c>
      <c r="C6" s="3" t="inlineStr">
        <is>
          <t xml:space="preserve">Per year</t>
        </is>
      </c>
      <c r="D6" s="3" t="inlineStr">
        <is>
          <t xml:space="preserve">Share</t>
        </is>
      </c>
      <c r="E6" s="3"/>
    </row>
    <row r="7">
      <c r="A7" s="8" t="inlineStr">
        <is>
          <t xml:space="preserve">Mortgage</t>
        </is>
      </c>
      <c r="B7" s="10">
        <v>3903.51</v>
      </c>
      <c r="C7" s="9">
        <v>46842.12</v>
      </c>
      <c r="D7" s="13">
        <v>0.3409569626098361</v>
      </c>
    </row>
    <row r="8">
      <c r="A8" s="8" t="inlineStr">
        <is>
          <t xml:space="preserve">Utilities - all</t>
        </is>
      </c>
      <c r="B8" s="10">
        <v>1400.43</v>
      </c>
      <c r="C8" s="9">
        <v>16805.14</v>
      </c>
      <c r="D8" s="13">
        <v>0.12232216412564292</v>
      </c>
    </row>
    <row r="9">
      <c r="A9" s="6" t="inlineStr">
        <is>
          <t xml:space="preserve">Gas - heating (Elizabethtown)</t>
        </is>
      </c>
      <c r="B9" s="11">
        <v>217.24</v>
      </c>
      <c r="C9" s="11">
        <v>2606.90</v>
      </c>
      <c r="D9" s="13">
        <v>0.018975245053545434</v>
      </c>
    </row>
    <row r="10">
      <c r="A10" s="6" t="inlineStr">
        <is>
          <t xml:space="preserve">Electric (JCP&amp;L)</t>
        </is>
      </c>
      <c r="B10" s="11">
        <v>255.51</v>
      </c>
      <c r="C10" s="11">
        <v>3066.12</v>
      </c>
      <c r="D10" s="13">
        <v>0.022317840486239107</v>
      </c>
    </row>
    <row r="11">
      <c r="A11" s="6" t="inlineStr">
        <is>
          <t xml:space="preserve">Water, sewer and trash</t>
        </is>
      </c>
      <c r="B11" s="11">
        <v>371.48</v>
      </c>
      <c r="C11" s="11">
        <v>4457.72</v>
      </c>
      <c r="D11" s="13">
        <v>0.032447094012079694</v>
      </c>
    </row>
    <row r="12">
      <c r="A12" s="6" t="inlineStr">
        <is>
          <t xml:space="preserve">Phone, internet and TV</t>
        </is>
      </c>
      <c r="B12" s="11">
        <v>248.50</v>
      </c>
      <c r="C12" s="11">
        <v>2982.00</v>
      </c>
      <c r="D12" s="13">
        <v>0.0217055432696584</v>
      </c>
    </row>
    <row r="13">
      <c r="A13" s="6" t="inlineStr">
        <is>
          <t xml:space="preserve">Other utilities (Culligan)</t>
        </is>
      </c>
      <c r="B13" s="11">
        <v>307.70</v>
      </c>
      <c r="C13" s="11">
        <v>3692.40</v>
      </c>
      <c r="D13" s="13">
        <v>0.026876441304120282</v>
      </c>
    </row>
    <row r="14">
      <c r="A14" s="8" t="inlineStr">
        <is>
          <t xml:space="preserve">Fuel - vehicles</t>
        </is>
      </c>
      <c r="B14" s="10">
        <v>393.34</v>
      </c>
      <c r="C14" s="9">
        <v>4720.04</v>
      </c>
      <c r="D14" s="13">
        <v>0.03435648304980498</v>
      </c>
    </row>
    <row r="15">
      <c r="A15" s="8" t="inlineStr">
        <is>
          <t xml:space="preserve">Groceries</t>
        </is>
      </c>
      <c r="B15" s="10">
        <v>1382.72</v>
      </c>
      <c r="C15" s="9">
        <v>16592.68</v>
      </c>
      <c r="D15" s="13">
        <v>0.12077569875908638</v>
      </c>
    </row>
    <row r="16">
      <c r="A16" s="8" t="inlineStr">
        <is>
          <t xml:space="preserve">Car payments (Kia, CCU)</t>
        </is>
      </c>
      <c r="B16" s="10">
        <v>1049.55</v>
      </c>
      <c r="C16" s="9">
        <v>12594.60</v>
      </c>
      <c r="D16" s="13">
        <v>0.09167425729847073</v>
      </c>
    </row>
    <row r="17">
      <c r="A17" s="8" t="inlineStr">
        <is>
          <t xml:space="preserve">Insurance</t>
        </is>
      </c>
      <c r="B17" s="10">
        <v>513.27</v>
      </c>
      <c r="C17" s="9">
        <v>6159.24</v>
      </c>
      <c r="D17" s="13">
        <v>0.044832210036288</v>
      </c>
    </row>
    <row r="18">
      <c r="A18" s="8" t="inlineStr">
        <is>
          <t xml:space="preserve">Loans</t>
        </is>
      </c>
      <c r="B18" s="10">
        <v>1196.28</v>
      </c>
      <c r="C18" s="9">
        <v>14355.36</v>
      </c>
      <c r="D18" s="13">
        <v>0.10449057264638613</v>
      </c>
    </row>
    <row r="19">
      <c r="A19" s="8" t="inlineStr">
        <is>
          <t xml:space="preserve">Credit cards &amp; store accounts</t>
        </is>
      </c>
      <c r="B19" s="10">
        <v>798.78</v>
      </c>
      <c r="C19" s="9">
        <v>9585.36</v>
      </c>
      <c r="D19" s="13">
        <v>0.0697704380399909</v>
      </c>
    </row>
    <row r="20">
      <c r="A20" s="8" t="inlineStr">
        <is>
          <t xml:space="preserve">Taxes</t>
        </is>
      </c>
      <c r="B20" s="10">
        <v>217.00</v>
      </c>
      <c r="C20" s="9">
        <v>2604.00</v>
      </c>
      <c r="D20" s="13">
        <v>0.018954136376321422</v>
      </c>
    </row>
    <row r="21">
      <c r="A21" s="8" t="inlineStr">
        <is>
          <t xml:space="preserve">Medical &amp; dental</t>
        </is>
      </c>
      <c r="B21" s="10">
        <v>400.00</v>
      </c>
      <c r="C21" s="9">
        <v>4800.00</v>
      </c>
      <c r="D21" s="13">
        <v>0.03493850023285055</v>
      </c>
    </row>
    <row r="22">
      <c r="A22" s="8" t="inlineStr">
        <is>
          <t xml:space="preserve">Kids &amp; activities</t>
        </is>
      </c>
      <c r="B22" s="10">
        <v>172.50</v>
      </c>
      <c r="C22" s="9">
        <v>2070.00</v>
      </c>
      <c r="D22" s="13">
        <v>0.015067228225416798</v>
      </c>
    </row>
    <row r="23">
      <c r="A23" s="8" t="inlineStr">
        <is>
          <t xml:space="preserve">Subscriptions</t>
        </is>
      </c>
      <c r="B23" s="10">
        <v>21.31</v>
      </c>
      <c r="C23" s="9">
        <v>255.72</v>
      </c>
      <c r="D23" s="13">
        <v>0.0018613485999051129</v>
      </c>
    </row>
    <row r="24">
      <c r="A24" s="8" t="inlineStr">
        <is>
          <t xml:space="preserve">Everything else - miscellaneous (none: every bill is named above)</t>
        </is>
      </c>
      <c r="B24" s="10">
        <v>0.00</v>
      </c>
      <c r="C24" s="9">
        <v>0.00</v>
      </c>
      <c r="D24" s="13">
        <v>0.0</v>
      </c>
    </row>
    <row r="25">
      <c r="A25" s="15" t="inlineStr">
        <is>
          <t xml:space="preserve">TOTAL - everything</t>
        </is>
      </c>
      <c r="B25" s="16">
        <v>11448.69</v>
      </c>
      <c r="C25" s="16">
        <v>137384.26</v>
      </c>
      <c r="D25" s="17">
        <v>1.0</v>
      </c>
    </row>
    <row r="26">
      <c r="A26" s="6" t="inlineStr">
        <is>
          <t xml:space="preserve">of which worst-case margin on 9 variable bills</t>
        </is>
      </c>
      <c r="B26" s="11">
        <v>792.52</v>
      </c>
      <c r="C26" s="11">
        <v>9510.20</v>
      </c>
      <c r="D26" s="13">
        <v>0.06922335935717817</v>
      </c>
    </row>
    <row r="27">
      <c r="A27" s="6" t="inlineStr">
        <is>
          <t xml:space="preserve">the same bills at their usual amounts</t>
        </is>
      </c>
      <c r="B27" s="11">
        <v>10656.17</v>
      </c>
      <c r="C27" s="11">
        <v>127874.06</v>
      </c>
      <c r="D27" s="13"/>
    </row>
    <row r="28">
      <c r="A28" s="7" t="inlineStr">
        <is>
          <t xml:space="preserve">Indented lines are part of the utilities line above them, not additions to it. "Everything else" is the residual, so the block adds to the total exactly.</t>
        </is>
      </c>
    </row>
    <row r="30">
      <c r="A30" s="5" t="inlineStr">
        <is>
          <t xml:space="preserve">By category</t>
        </is>
      </c>
    </row>
    <row r="31" ht="28.00" customHeight="1">
      <c r="A31" s="4" t="inlineStr">
        <is>
          <t xml:space="preserve">Category</t>
        </is>
      </c>
      <c r="B31" s="3" t="inlineStr">
        <is>
          <t xml:space="preserve">Bills</t>
        </is>
      </c>
      <c r="C31" s="3" t="inlineStr">
        <is>
          <t xml:space="preserve">Per month</t>
        </is>
      </c>
      <c r="D31" s="3" t="inlineStr">
        <is>
          <t xml:space="preserve">Per year</t>
        </is>
      </c>
      <c r="E31" s="3" t="inlineStr">
        <is>
          <t xml:space="preserve">Share</t>
        </is>
      </c>
    </row>
    <row r="32">
      <c r="A32" t="inlineStr">
        <is>
          <t xml:space="preserve">Housing</t>
        </is>
      </c>
      <c r="B32" s="20">
        <v>1</v>
      </c>
      <c r="C32" s="10">
        <v>3903.51</v>
      </c>
      <c r="D32" s="9">
        <v>46842.12</v>
      </c>
      <c r="E32" s="13">
        <v>0.3409569626098361</v>
      </c>
    </row>
    <row r="33">
      <c r="A33" t="inlineStr">
        <is>
          <t xml:space="preserve">Utilities</t>
        </is>
      </c>
      <c r="B33" s="20">
        <v>12</v>
      </c>
      <c r="C33" s="10">
        <v>1400.43</v>
      </c>
      <c r="D33" s="9">
        <v>16805.14</v>
      </c>
      <c r="E33" s="13">
        <v>0.12232216412564292</v>
      </c>
    </row>
    <row r="34">
      <c r="A34" t="inlineStr">
        <is>
          <t xml:space="preserve">Insurance</t>
        </is>
      </c>
      <c r="B34" s="20">
        <v>1</v>
      </c>
      <c r="C34" s="10">
        <v>513.27</v>
      </c>
      <c r="D34" s="9">
        <v>6159.24</v>
      </c>
      <c r="E34" s="13">
        <v>0.044832210036288</v>
      </c>
    </row>
    <row r="35">
      <c r="A35" t="inlineStr">
        <is>
          <t xml:space="preserve">Transportation</t>
        </is>
      </c>
      <c r="B35" s="20">
        <v>3</v>
      </c>
      <c r="C35" s="10">
        <v>1442.89</v>
      </c>
      <c r="D35" s="9">
        <v>17314.64</v>
      </c>
      <c r="E35" s="13">
        <v>0.12603074034827572</v>
      </c>
    </row>
    <row r="36">
      <c r="A36" t="inlineStr">
        <is>
          <t xml:space="preserve">Groceries</t>
        </is>
      </c>
      <c r="B36" s="20">
        <v>1</v>
      </c>
      <c r="C36" s="10">
        <v>1382.72</v>
      </c>
      <c r="D36" s="9">
        <v>16592.68</v>
      </c>
      <c r="E36" s="13">
        <v>0.12077569875908638</v>
      </c>
    </row>
    <row r="37">
      <c r="A37" t="inlineStr">
        <is>
          <t xml:space="preserve">Medical &amp; dental</t>
        </is>
      </c>
      <c r="B37" s="20">
        <v>1</v>
      </c>
      <c r="C37" s="10">
        <v>400.00</v>
      </c>
      <c r="D37" s="9">
        <v>4800.00</v>
      </c>
      <c r="E37" s="13">
        <v>0.03493850023285055</v>
      </c>
    </row>
    <row r="38">
      <c r="A38" t="inlineStr">
        <is>
          <t xml:space="preserve">Kids &amp; activities</t>
        </is>
      </c>
      <c r="B38" s="20">
        <v>4</v>
      </c>
      <c r="C38" s="10">
        <v>172.50</v>
      </c>
      <c r="D38" s="9">
        <v>2070.00</v>
      </c>
      <c r="E38" s="13">
        <v>0.015067228225416798</v>
      </c>
    </row>
    <row r="39">
      <c r="A39" t="inlineStr">
        <is>
          <t xml:space="preserve">Loans</t>
        </is>
      </c>
      <c r="B39" s="20">
        <v>7</v>
      </c>
      <c r="C39" s="10">
        <v>1196.28</v>
      </c>
      <c r="D39" s="9">
        <v>14355.36</v>
      </c>
      <c r="E39" s="13">
        <v>0.10449057264638613</v>
      </c>
    </row>
    <row r="40">
      <c r="A40" t="inlineStr">
        <is>
          <t xml:space="preserve">Credit cards &amp; store accounts</t>
        </is>
      </c>
      <c r="B40" s="20">
        <v>8</v>
      </c>
      <c r="C40" s="10">
        <v>798.78</v>
      </c>
      <c r="D40" s="9">
        <v>9585.36</v>
      </c>
      <c r="E40" s="13">
        <v>0.0697704380399909</v>
      </c>
    </row>
    <row r="41">
      <c r="A41" t="inlineStr">
        <is>
          <t xml:space="preserve">Taxes</t>
        </is>
      </c>
      <c r="B41" s="20">
        <v>2</v>
      </c>
      <c r="C41" s="10">
        <v>217.00</v>
      </c>
      <c r="D41" s="9">
        <v>2604.00</v>
      </c>
      <c r="E41" s="13">
        <v>0.018954136376321422</v>
      </c>
    </row>
    <row r="42">
      <c r="A42" t="inlineStr">
        <is>
          <t xml:space="preserve">Subscriptions</t>
        </is>
      </c>
      <c r="B42" s="20">
        <v>1</v>
      </c>
      <c r="C42" s="10">
        <v>21.31</v>
      </c>
      <c r="D42" s="9">
        <v>255.72</v>
      </c>
      <c r="E42" s="13">
        <v>0.0018613485999051129</v>
      </c>
    </row>
    <row r="43">
      <c r="A43" s="15" t="inlineStr">
        <is>
          <t xml:space="preserve">TOTAL</t>
        </is>
      </c>
      <c r="B43" s="22">
        <f>SUM(B32:B42)</f>
        <v>41</v>
      </c>
      <c r="C43" s="16">
        <f>SUM(C32:C42)</f>
        <v>11448.69</v>
      </c>
      <c r="D43" s="16">
        <f>SUM(D32:D42)</f>
        <v>137384.26</v>
      </c>
      <c r="E43" s="17">
        <v>1.0</v>
      </c>
    </row>
    <row r="45">
      <c r="A45" s="5" t="inlineStr">
        <is>
          <t xml:space="preserve">By priority tier</t>
        </is>
      </c>
    </row>
    <row r="46" ht="28.00" customHeight="1">
      <c r="A46" s="4" t="inlineStr">
        <is>
          <t xml:space="preserve">Tier</t>
        </is>
      </c>
      <c r="B46" s="3" t="inlineStr">
        <is>
          <t xml:space="preserve">Bills</t>
        </is>
      </c>
      <c r="C46" s="3" t="inlineStr">
        <is>
          <t xml:space="preserve">Per month</t>
        </is>
      </c>
      <c r="D46" s="3" t="inlineStr">
        <is>
          <t xml:space="preserve">Per year</t>
        </is>
      </c>
      <c r="E46" s="3" t="inlineStr">
        <is>
          <t xml:space="preserve">Share</t>
        </is>
      </c>
    </row>
    <row r="47">
      <c r="A47" t="inlineStr">
        <is>
          <t xml:space="preserve">1 - critical / secured</t>
        </is>
      </c>
      <c r="B47" s="20">
        <v>3</v>
      </c>
      <c r="C47" s="10">
        <v>4953.06</v>
      </c>
      <c r="D47" s="9">
        <v>59436.72</v>
      </c>
      <c r="E47" s="13">
        <v>0.43263121990830683</v>
      </c>
    </row>
    <row r="48">
      <c r="A48" t="inlineStr">
        <is>
          <t xml:space="preserve">2 - essential</t>
        </is>
      </c>
      <c r="B48" s="20">
        <v>14</v>
      </c>
      <c r="C48" s="10">
        <v>3569.51</v>
      </c>
      <c r="D48" s="9">
        <v>42834.10</v>
      </c>
      <c r="E48" s="13">
        <v>0.31178316933832156</v>
      </c>
    </row>
    <row r="49">
      <c r="A49" t="inlineStr">
        <is>
          <t xml:space="preserve">3 - required debt</t>
        </is>
      </c>
      <c r="B49" s="20">
        <v>12</v>
      </c>
      <c r="C49" s="10">
        <v>1733.06</v>
      </c>
      <c r="D49" s="9">
        <v>20796.72</v>
      </c>
      <c r="E49" s="13">
        <v>0.1513762930338599</v>
      </c>
    </row>
    <row r="50">
      <c r="A50" t="inlineStr">
        <is>
          <t xml:space="preserve">4 - important scheduled</t>
        </is>
      </c>
      <c r="B50" s="20">
        <v>7</v>
      </c>
      <c r="C50" s="10">
        <v>602.05</v>
      </c>
      <c r="D50" s="9">
        <v>7224.60</v>
      </c>
      <c r="E50" s="13">
        <v>0.05258681016296918</v>
      </c>
    </row>
    <row r="51">
      <c r="A51" t="inlineStr">
        <is>
          <t xml:space="preserve">5 - discretionary</t>
        </is>
      </c>
      <c r="B51" s="20">
        <v>5</v>
      </c>
      <c r="C51" s="10">
        <v>591.01</v>
      </c>
      <c r="D51" s="9">
        <v>7092.12</v>
      </c>
      <c r="E51" s="13">
        <v>0.051622507556542505</v>
      </c>
    </row>
    <row r="53">
      <c r="A53" s="5" t="inlineStr">
        <is>
          <t xml:space="preserve">Month by month</t>
        </is>
      </c>
    </row>
    <row r="54" ht="28.00" customHeight="1">
      <c r="A54" s="4" t="inlineStr">
        <is>
          <t xml:space="preserve">Month</t>
        </is>
      </c>
      <c r="B54" s="3" t="inlineStr">
        <is>
          <t xml:space="preserve">Total</t>
        </is>
      </c>
      <c r="C54" s="3" t="inlineStr">
        <is>
          <t xml:space="preserve">vs average month</t>
        </is>
      </c>
      <c r="D54" s="3"/>
      <c r="E54" s="3"/>
    </row>
    <row r="55">
      <c r="A55" t="inlineStr">
        <is>
          <t xml:space="preserve">September 2026</t>
        </is>
      </c>
      <c r="B55" s="10">
        <v>12286.05</v>
      </c>
      <c r="C55" s="9">
        <v>837.36</v>
      </c>
      <c r="D55" s="21"/>
    </row>
    <row r="56">
      <c r="A56" t="inlineStr">
        <is>
          <t xml:space="preserve">October 2026</t>
        </is>
      </c>
      <c r="B56" s="10">
        <v>11054.86</v>
      </c>
      <c r="C56" s="9">
        <v>-393.83</v>
      </c>
      <c r="D56" s="21"/>
    </row>
    <row r="57">
      <c r="A57" t="inlineStr">
        <is>
          <t xml:space="preserve">November 2026</t>
        </is>
      </c>
      <c r="B57" s="10">
        <v>12433.11</v>
      </c>
      <c r="C57" s="9">
        <v>984.42</v>
      </c>
      <c r="D57" s="21"/>
    </row>
    <row r="58">
      <c r="A58" t="inlineStr">
        <is>
          <t xml:space="preserve">December 2026</t>
        </is>
      </c>
      <c r="B58" s="10">
        <v>11215.70</v>
      </c>
      <c r="C58" s="9">
        <v>-232.99</v>
      </c>
      <c r="D58" s="21"/>
    </row>
    <row r="59">
      <c r="A59" t="inlineStr">
        <is>
          <t xml:space="preserve">January 2027</t>
        </is>
      </c>
      <c r="B59" s="10">
        <v>11649.67</v>
      </c>
      <c r="C59" s="9">
        <v>200.98</v>
      </c>
      <c r="D59" s="21"/>
    </row>
    <row r="60">
      <c r="A60" t="inlineStr">
        <is>
          <t xml:space="preserve">February 2027</t>
        </is>
      </c>
      <c r="B60" s="10">
        <v>10613.91</v>
      </c>
      <c r="C60" s="9">
        <v>-834.78</v>
      </c>
      <c r="D60" s="21"/>
    </row>
    <row r="61">
      <c r="A61" t="inlineStr">
        <is>
          <t xml:space="preserve">March 2027</t>
        </is>
      </c>
      <c r="B61" s="10">
        <v>12134.43</v>
      </c>
      <c r="C61" s="9">
        <v>685.74</v>
      </c>
      <c r="D61" s="21"/>
    </row>
    <row r="62">
      <c r="A62" t="inlineStr">
        <is>
          <t xml:space="preserve">April 2027</t>
        </is>
      </c>
      <c r="B62" s="10">
        <v>10484.97</v>
      </c>
      <c r="C62" s="9">
        <v>-963.72</v>
      </c>
      <c r="D62" s="21"/>
    </row>
    <row r="63">
      <c r="A63" t="inlineStr">
        <is>
          <t xml:space="preserve">May 2027</t>
        </is>
      </c>
      <c r="B63" s="10">
        <v>13090.85</v>
      </c>
      <c r="C63" s="9">
        <v>1642.16</v>
      </c>
      <c r="D63" s="21" t="inlineStr">
        <is>
          <t xml:space="preserve">heaviest</t>
        </is>
      </c>
    </row>
    <row r="64">
      <c r="A64" t="inlineStr">
        <is>
          <t xml:space="preserve">June 2027</t>
        </is>
      </c>
      <c r="B64" s="10">
        <v>11162.97</v>
      </c>
      <c r="C64" s="9">
        <v>-285.72</v>
      </c>
      <c r="D64" s="21"/>
    </row>
    <row r="65">
      <c r="A65" t="inlineStr">
        <is>
          <t xml:space="preserve">July 2027</t>
        </is>
      </c>
      <c r="B65" s="10">
        <v>10379.80</v>
      </c>
      <c r="C65" s="9">
        <v>-1068.89</v>
      </c>
      <c r="D65" s="21" t="inlineStr">
        <is>
          <t xml:space="preserve">lightest</t>
        </is>
      </c>
    </row>
    <row r="66">
      <c r="A66" t="inlineStr">
        <is>
          <t xml:space="preserve">August 2027</t>
        </is>
      </c>
      <c r="B66" s="10">
        <v>10877.94</v>
      </c>
      <c r="C66" s="9">
        <v>-570.75</v>
      </c>
      <c r="D66" s="21"/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5"/>
  <sheetViews>
    <sheetView workbookViewId="0" showGridLines="0">
      <pane xSplit="1" ySplit="3" topLeftCell="B4" activePane="bottomRight" state="frozen"/>
    </sheetView>
  </sheetViews>
  <sheetFormatPr defaultRowHeight="15"/>
  <cols>
    <col min="1" max="1" width="30.00" customWidth="1"/>
    <col min="2" max="2" width="26.00" customWidth="1"/>
    <col min="3" max="3" width="12.00" customWidth="1"/>
    <col min="4" max="4" width="26.00" customWidth="1"/>
    <col min="5" max="5" width="24.00" customWidth="1"/>
    <col min="6" max="6" width="12.00" customWidth="1"/>
    <col min="7" max="7" width="11.00" customWidth="1"/>
    <col min="8" max="8" width="14.00" customWidth="1"/>
    <col min="9" max="9" width="14.00" customWidth="1"/>
    <col min="10" max="10" width="16.00" customWidth="1"/>
    <col min="11" max="11" width="7.00" customWidth="1"/>
    <col min="12" max="12" width="9.00" customWidth="1"/>
    <col min="13" max="13" width="9.00" customWidth="1"/>
    <col min="14" max="14" width="9.00" customWidth="1"/>
    <col min="15" max="15" width="11.00" customWidth="1"/>
    <col min="16" max="16" width="13.00" customWidth="1"/>
    <col min="17" max="17" width="13.00" customWidth="1"/>
    <col min="18" max="18" width="46.00" customWidth="1"/>
  </cols>
  <sheetData>
    <row r="1" ht="24.00" customHeight="1">
      <c r="A1" s="1" t="inlineStr">
        <is>
          <t xml:space="preserve">Every active bill</t>
        </is>
      </c>
    </row>
    <row r="2">
      <c r="A2" s="2" t="inlineStr">
        <is>
          <t xml:space="preserve">September 2026 to August 2027. Per month = twelve-month total / 12; occurrences is how many times the bill actually lands in the window.</t>
        </is>
      </c>
    </row>
    <row r="3" ht="42.00" customHeight="1">
      <c r="A3" s="4" t="inlineStr">
        <is>
          <t xml:space="preserve">Bill</t>
        </is>
      </c>
      <c r="B3" s="4" t="inlineStr">
        <is>
          <t xml:space="preserve">Category</t>
        </is>
      </c>
      <c r="C3" s="3" t="inlineStr">
        <is>
          <t xml:space="preserve">Amount</t>
        </is>
      </c>
      <c r="D3" s="4" t="inlineStr">
        <is>
          <t xml:space="preserve">How it recurs</t>
        </is>
      </c>
      <c r="E3" s="4" t="inlineStr">
        <is>
          <t xml:space="preserve">Figure used</t>
        </is>
      </c>
      <c r="F3" s="3" t="inlineStr">
        <is>
          <t xml:space="preserve">Next due</t>
        </is>
      </c>
      <c r="G3" s="3" t="inlineStr">
        <is>
          <t xml:space="preserve">Occurrences</t>
        </is>
      </c>
      <c r="H3" s="3" t="inlineStr">
        <is>
          <t xml:space="preserve">Per month</t>
        </is>
      </c>
      <c r="I3" s="3" t="inlineStr">
        <is>
          <t xml:space="preserve">Per year</t>
        </is>
      </c>
      <c r="J3" s="3" t="inlineStr">
        <is>
          <t xml:space="preserve">Worst-case margin</t>
        </is>
      </c>
      <c r="K3" s="3" t="inlineStr">
        <is>
          <t xml:space="preserve">Tier</t>
        </is>
      </c>
      <c r="L3" s="3" t="inlineStr">
        <is>
          <t xml:space="preserve">Autopay</t>
        </is>
      </c>
      <c r="M3" s="3" t="inlineStr">
        <is>
          <t xml:space="preserve">Variable</t>
        </is>
      </c>
      <c r="N3" s="3" t="inlineStr">
        <is>
          <t xml:space="preserve">Secured</t>
        </is>
      </c>
      <c r="O3" s="3" t="inlineStr">
        <is>
          <t xml:space="preserve">Deferrable</t>
        </is>
      </c>
      <c r="P3" s="3" t="inlineStr">
        <is>
          <t xml:space="preserve">Confidence</t>
        </is>
      </c>
      <c r="Q3" s="4" t="inlineStr">
        <is>
          <t xml:space="preserve">Observed range</t>
        </is>
      </c>
      <c r="R3" s="4" t="inlineStr">
        <is>
          <t xml:space="preserve">Note</t>
        </is>
      </c>
    </row>
    <row r="4">
      <c r="A4" t="inlineStr">
        <is>
          <t xml:space="preserve">Mortgage</t>
        </is>
      </c>
      <c r="B4" t="inlineStr">
        <is>
          <t xml:space="preserve">Housing</t>
        </is>
      </c>
      <c r="C4" s="9">
        <v>1801.62</v>
      </c>
      <c r="D4" t="inlineStr">
        <is>
          <t xml:space="preserve">Every 2 weeks (26 a year)</t>
        </is>
      </c>
      <c r="E4" t="inlineStr">
        <is>
          <t xml:space="preserve">Fixed amount</t>
        </is>
      </c>
      <c r="F4" s="21" t="inlineStr">
        <is>
          <t xml:space="preserve">2026-09-21</t>
        </is>
      </c>
      <c r="G4" s="20">
        <v>26</v>
      </c>
      <c r="H4" s="10">
        <v>3903.51</v>
      </c>
      <c r="I4" s="9">
        <v>46842.12</v>
      </c>
      <c r="J4" s="11"/>
      <c r="K4" s="20">
        <v>1</v>
      </c>
      <c r="L4" s="21"/>
      <c r="M4" s="21"/>
      <c r="N4" s="21" t="inlineStr">
        <is>
          <t xml:space="preserve">yes</t>
        </is>
      </c>
      <c r="O4" s="21"/>
      <c r="P4" s="21" t="inlineStr">
        <is>
          <t xml:space="preserve">high</t>
        </is>
      </c>
      <c r="Q4"/>
      <c r="R4" s="7" t="inlineStr">
        <is>
          <t xml:space="preserve">CORRECTED from semimonthly to biweekly. 15 consecutive payments 12/15/2025-06/29/2026 are exactly 14 days apart. Semimonthly modelled 24/yr; biweekly is 26/yr, a $3,603.24/yr difference. Extra same-week entries in the statements are failed-payment retries, not additional payments.</t>
        </is>
      </c>
    </row>
    <row r="5">
      <c r="A5" t="inlineStr">
        <is>
          <t xml:space="preserve">Culligan</t>
        </is>
      </c>
      <c r="B5" t="inlineStr">
        <is>
          <t xml:space="preserve">Utilities</t>
        </is>
      </c>
      <c r="C5" s="9">
        <v>40.39</v>
      </c>
      <c r="D5" t="inlineStr">
        <is>
          <t xml:space="preserve">Monthly, 4th</t>
        </is>
      </c>
      <c r="E5" t="inlineStr">
        <is>
          <t xml:space="preserve">Worst case (observed max)</t>
        </is>
      </c>
      <c r="F5" s="21" t="inlineStr">
        <is>
          <t xml:space="preserve">2026-10-04</t>
        </is>
      </c>
      <c r="G5" s="20">
        <v>12</v>
      </c>
      <c r="H5" s="10">
        <v>307.70</v>
      </c>
      <c r="I5" s="9">
        <v>3692.40</v>
      </c>
      <c r="J5" s="11">
        <v>3207.72</v>
      </c>
      <c r="K5" s="20">
        <v>5</v>
      </c>
      <c r="L5" s="21"/>
      <c r="M5" s="21" t="inlineStr">
        <is>
          <t xml:space="preserve">yes</t>
        </is>
      </c>
      <c r="N5" s="21"/>
      <c r="O5" s="21" t="inlineStr">
        <is>
          <t xml:space="preserve">yes</t>
        </is>
      </c>
      <c r="P5" s="21" t="inlineStr">
        <is>
          <t xml:space="preserve">low</t>
        </is>
      </c>
      <c r="Q5" t="inlineStr">
        <is>
          <t xml:space="preserve">$40.39 - $307.70</t>
        </is>
      </c>
      <c r="R5" s="7" t="inlineStr">
        <is>
          <t xml:space="preserve">Base $40.39, but 01/05 was $307.70 and 04/06 was $143.39 - likely periodic salt or service deliveries on top.</t>
        </is>
      </c>
    </row>
    <row r="6">
      <c r="A6" t="inlineStr">
        <is>
          <t xml:space="preserve">Town of Clinton water</t>
        </is>
      </c>
      <c r="B6" t="inlineStr">
        <is>
          <t xml:space="preserve">Utilities</t>
        </is>
      </c>
      <c r="C6" s="9">
        <v>294.03</v>
      </c>
      <c r="D6" t="inlineStr">
        <is>
          <t xml:space="preserve">Quarterly from 19 Sep 2026</t>
        </is>
      </c>
      <c r="E6" t="inlineStr">
        <is>
          <t xml:space="preserve">Worst case (observed max)</t>
        </is>
      </c>
      <c r="F6" s="21" t="inlineStr">
        <is>
          <t xml:space="preserve">2026-12-19</t>
        </is>
      </c>
      <c r="G6" s="20">
        <v>4</v>
      </c>
      <c r="H6" s="10">
        <v>291.18</v>
      </c>
      <c r="I6" s="9">
        <v>3494.12</v>
      </c>
      <c r="J6" s="11">
        <v>2318.00</v>
      </c>
      <c r="K6" s="20">
        <v>2</v>
      </c>
      <c r="L6" s="21"/>
      <c r="M6" s="21" t="inlineStr">
        <is>
          <t xml:space="preserve">yes</t>
        </is>
      </c>
      <c r="N6" s="21"/>
      <c r="O6" s="21"/>
      <c r="P6" s="21" t="inlineStr">
        <is>
          <t xml:space="preserve">medium</t>
        </is>
      </c>
      <c r="Q6" t="inlineStr">
        <is>
          <t xml:space="preserve">$294.03 - $873.53</t>
        </is>
      </c>
      <c r="R6" s="7" t="inlineStr">
        <is>
          <t xml:space="preserve">Actual annual spend: 2022 $1,088.42, 2023 $1,121.76, 2024 $1,318.11 (mean $1,176.10). Billed irregularly - between two and five payments a year, not on a fixed date - so this is the annual mean spread over four quarters rather than a real due date.</t>
        </is>
      </c>
    </row>
    <row r="7">
      <c r="A7" t="inlineStr">
        <is>
          <t xml:space="preserve">JCP&amp;L / FirstEnergy</t>
        </is>
      </c>
      <c r="B7" t="inlineStr">
        <is>
          <t xml:space="preserve">Utilities</t>
        </is>
      </c>
      <c r="C7" s="9">
        <v>418.98</v>
      </c>
      <c r="D7" t="inlineStr">
        <is>
          <t xml:space="preserve">Monthly, 3rd</t>
        </is>
      </c>
      <c r="E7" t="inlineStr">
        <is>
          <t xml:space="preserve">Seasonal profile</t>
        </is>
      </c>
      <c r="F7" s="21" t="inlineStr">
        <is>
          <t xml:space="preserve">2026-10-03</t>
        </is>
      </c>
      <c r="G7" s="20">
        <v>12</v>
      </c>
      <c r="H7" s="10">
        <v>224.33</v>
      </c>
      <c r="I7" s="9">
        <v>2691.90</v>
      </c>
      <c r="J7" s="11"/>
      <c r="K7" s="20">
        <v>2</v>
      </c>
      <c r="L7" s="21"/>
      <c r="M7" s="21" t="inlineStr">
        <is>
          <t xml:space="preserve">yes</t>
        </is>
      </c>
      <c r="N7" s="21"/>
      <c r="O7" s="21"/>
      <c r="P7" s="21" t="inlineStr">
        <is>
          <t xml:space="preserve">high</t>
        </is>
      </c>
      <c r="Q7" t="inlineStr">
        <is>
          <t xml:space="preserve">$130.28 - $489.87</t>
        </is>
      </c>
      <c r="R7" s="7" t="inlineStr">
        <is>
          <t xml:space="preserve">Month-of-year profile blended from 34 JCP&amp;L payments across Dec 2021-Dec 2024 and the 2025-26 statements. Electric is the one utility paid reliably every month, so a month-of-year mean is meaningful for it.</t>
        </is>
      </c>
    </row>
    <row r="8">
      <c r="A8" t="inlineStr">
        <is>
          <t xml:space="preserve">Elizabethtown Gas</t>
        </is>
      </c>
      <c r="B8" t="inlineStr">
        <is>
          <t xml:space="preserve">Utilities</t>
        </is>
      </c>
      <c r="C8" s="9">
        <v>54.03</v>
      </c>
      <c r="D8" t="inlineStr">
        <is>
          <t xml:space="preserve">Monthly, 11th</t>
        </is>
      </c>
      <c r="E8" t="inlineStr">
        <is>
          <t xml:space="preserve">Seasonal profile</t>
        </is>
      </c>
      <c r="F8" s="21" t="inlineStr">
        <is>
          <t xml:space="preserve">2026-10-11</t>
        </is>
      </c>
      <c r="G8" s="20">
        <v>12</v>
      </c>
      <c r="H8" s="10">
        <v>217.24</v>
      </c>
      <c r="I8" s="9">
        <v>2606.90</v>
      </c>
      <c r="J8" s="11"/>
      <c r="K8" s="20">
        <v>2</v>
      </c>
      <c r="L8" s="21"/>
      <c r="M8" s="21" t="inlineStr">
        <is>
          <t xml:space="preserve">yes</t>
        </is>
      </c>
      <c r="N8" s="21"/>
      <c r="O8" s="21"/>
      <c r="P8" s="21" t="inlineStr">
        <is>
          <t xml:space="preserve">high</t>
        </is>
      </c>
      <c r="Q8" t="inlineStr">
        <is>
          <t xml:space="preserve">$54.03 - $550.83</t>
        </is>
      </c>
      <c r="R8" s="7" t="inlineStr">
        <is>
          <t xml:space="preserve">Seasonal profile from 19 statements, month-of-year maximum. Ranges $54.03 in August to $550.83 in March - a single figure was wrong eleven months a year. A flat $180.61 over-forecast summer by roughly $125/month.</t>
        </is>
      </c>
    </row>
    <row r="9">
      <c r="A9" t="inlineStr">
        <is>
          <t xml:space="preserve">Comcast</t>
        </is>
      </c>
      <c r="B9" t="inlineStr">
        <is>
          <t xml:space="preserve">Utilities</t>
        </is>
      </c>
      <c r="C9" s="9">
        <v>138.93</v>
      </c>
      <c r="D9" t="inlineStr">
        <is>
          <t xml:space="preserve">Monthly, 18th</t>
        </is>
      </c>
      <c r="E9" t="inlineStr">
        <is>
          <t xml:space="preserve">Fixed amount</t>
        </is>
      </c>
      <c r="F9" s="21" t="inlineStr">
        <is>
          <t xml:space="preserve">2026-10-18</t>
        </is>
      </c>
      <c r="G9" s="20">
        <v>12</v>
      </c>
      <c r="H9" s="10">
        <v>138.93</v>
      </c>
      <c r="I9" s="9">
        <v>1667.16</v>
      </c>
      <c r="J9" s="11"/>
      <c r="K9" s="20">
        <v>2</v>
      </c>
      <c r="L9" s="21" t="inlineStr">
        <is>
          <t xml:space="preserve">yes</t>
        </is>
      </c>
      <c r="M9" s="21"/>
      <c r="N9" s="21"/>
      <c r="O9" s="21" t="inlineStr">
        <is>
          <t xml:space="preserve">yes</t>
        </is>
      </c>
      <c r="P9" s="21" t="inlineStr">
        <is>
          <t xml:space="preserve">high</t>
        </is>
      </c>
      <c r="Q9"/>
      <c r="R9" s="7" t="inlineStr">
        <is>
          <t xml:space="preserve">Amount corrected from $145.00, due day from 20 to 18.</t>
        </is>
      </c>
    </row>
    <row r="10">
      <c r="A10" t="inlineStr">
        <is>
          <t xml:space="preserve">Xfinity Mobile</t>
        </is>
      </c>
      <c r="B10" t="inlineStr">
        <is>
          <t xml:space="preserve">Utilities</t>
        </is>
      </c>
      <c r="C10" s="9">
        <v>88.82</v>
      </c>
      <c r="D10" t="inlineStr">
        <is>
          <t xml:space="preserve">Monthly, 29th</t>
        </is>
      </c>
      <c r="E10" t="inlineStr">
        <is>
          <t xml:space="preserve">Fixed amount</t>
        </is>
      </c>
      <c r="F10" s="21" t="inlineStr">
        <is>
          <t xml:space="preserve">2026-09-29</t>
        </is>
      </c>
      <c r="G10" s="20">
        <v>12</v>
      </c>
      <c r="H10" s="10">
        <v>88.82</v>
      </c>
      <c r="I10" s="9">
        <v>1065.84</v>
      </c>
      <c r="J10" s="11"/>
      <c r="K10" s="20">
        <v>2</v>
      </c>
      <c r="L10" s="21" t="inlineStr">
        <is>
          <t xml:space="preserve">yes</t>
        </is>
      </c>
      <c r="M10" s="21"/>
      <c r="N10" s="21"/>
      <c r="O10" s="21" t="inlineStr">
        <is>
          <t xml:space="preserve">yes</t>
        </is>
      </c>
      <c r="P10" s="21" t="inlineStr">
        <is>
          <t xml:space="preserve">high</t>
        </is>
      </c>
      <c r="Q10"/>
      <c r="R10" s="7"/>
    </row>
    <row r="11">
      <c r="A11" t="inlineStr">
        <is>
          <t xml:space="preserve">JCP&amp;L past due (deferred 3 Sep)</t>
        </is>
      </c>
      <c r="B11" t="inlineStr">
        <is>
          <t xml:space="preserve">Utilities</t>
        </is>
      </c>
      <c r="C11" s="9">
        <v>374.22</v>
      </c>
      <c r="D11" t="inlineStr">
        <is>
          <t xml:space="preserve">One-off, 15 Sep 2026</t>
        </is>
      </c>
      <c r="E11" t="inlineStr">
        <is>
          <t xml:space="preserve">Fixed amount</t>
        </is>
      </c>
      <c r="F11" s="21"/>
      <c r="G11" s="20">
        <v>1</v>
      </c>
      <c r="H11" s="10">
        <v>31.19</v>
      </c>
      <c r="I11" s="9">
        <v>374.22</v>
      </c>
      <c r="J11" s="11"/>
      <c r="K11" s="20">
        <v>2</v>
      </c>
      <c r="L11" s="21"/>
      <c r="M11" s="21"/>
      <c r="N11" s="21"/>
      <c r="O11" s="21"/>
      <c r="P11" s="21" t="inlineStr">
        <is>
          <t xml:space="preserve">medium</t>
        </is>
      </c>
      <c r="Q11"/>
      <c r="R11" s="7" t="inlineStr">
        <is>
          <t xml:space="preserve">Added 11 Sep 2026. The 3 Sep electric payment was deferred, so it dropped out of the forecast once the date passed - the money is still owed. Carried back in as a one-off dated 15 Sep. AMOUNT IS THE MODELLED SEPTEMBER FIGURE ($374.22 from the month-of-year profile), not a figure read off a bill: the real past-due balance may be higher and may carry a late fee. Replace it with the amount on the JCP&amp;L statement and clear needs_review. This is in ADDITION to the recurring 3 Oct occurrence.</t>
        </is>
      </c>
    </row>
    <row r="12">
      <c r="A12" t="inlineStr">
        <is>
          <t xml:space="preserve">Sewer</t>
        </is>
      </c>
      <c r="B12" t="inlineStr">
        <is>
          <t xml:space="preserve">Utilities</t>
        </is>
      </c>
      <c r="C12" s="9">
        <v>304.50</v>
      </c>
      <c r="D12" t="inlineStr">
        <is>
          <t xml:space="preserve">Annual, 1 Sep</t>
        </is>
      </c>
      <c r="E12" t="inlineStr">
        <is>
          <t xml:space="preserve">Fixed amount</t>
        </is>
      </c>
      <c r="F12" s="21" t="inlineStr">
        <is>
          <t xml:space="preserve">2027-09-01</t>
        </is>
      </c>
      <c r="G12" s="20">
        <v>1</v>
      </c>
      <c r="H12" s="10">
        <v>25.38</v>
      </c>
      <c r="I12" s="9">
        <v>304.50</v>
      </c>
      <c r="J12" s="11"/>
      <c r="K12" s="20">
        <v>2</v>
      </c>
      <c r="L12" s="21"/>
      <c r="M12" s="21"/>
      <c r="N12" s="21"/>
      <c r="O12" s="21"/>
      <c r="P12" s="21" t="inlineStr">
        <is>
          <t xml:space="preserve">high</t>
        </is>
      </c>
      <c r="Q12"/>
      <c r="R12" s="7" t="inlineStr">
        <is>
          <t xml:space="preserve">POSSIBLY ANNUAL, UNCONFIRMED - the household does not yet know. No matching payment appears in 19 months of statements, including the September window. Left active at $304.50 on 1 Sep so it is budgeted for rather than forgotten.</t>
        </is>
      </c>
    </row>
    <row r="13">
      <c r="A13" t="inlineStr">
        <is>
          <t xml:space="preserve">Sewer past due (deferred 1 Sep)</t>
        </is>
      </c>
      <c r="B13" t="inlineStr">
        <is>
          <t xml:space="preserve">Utilities</t>
        </is>
      </c>
      <c r="C13" s="9">
        <v>304.50</v>
      </c>
      <c r="D13" t="inlineStr">
        <is>
          <t xml:space="preserve">One-off, 15 Sep 2026</t>
        </is>
      </c>
      <c r="E13" t="inlineStr">
        <is>
          <t xml:space="preserve">Fixed amount</t>
        </is>
      </c>
      <c r="F13" s="21"/>
      <c r="G13" s="20">
        <v>1</v>
      </c>
      <c r="H13" s="10">
        <v>25.38</v>
      </c>
      <c r="I13" s="9">
        <v>304.50</v>
      </c>
      <c r="J13" s="11"/>
      <c r="K13" s="20">
        <v>2</v>
      </c>
      <c r="L13" s="21"/>
      <c r="M13" s="21"/>
      <c r="N13" s="21"/>
      <c r="O13" s="21"/>
      <c r="P13" s="21" t="inlineStr">
        <is>
          <t xml:space="preserve">medium</t>
        </is>
      </c>
      <c r="Q13"/>
      <c r="R13" s="7" t="inlineStr">
        <is>
          <t xml:space="preserve">Added 11 Sep 2026. The 1 Sep sewer payment was deferred and the date has since passed, so it left the forecast while still being owed. Carried back in as a one-off dated 15 Sep at the configured $304.50. That figure is itself unconfirmed - the only sewer payment in 36 months of statements is $135.00 in Sep 2023 - so check the bill before paying and clear needs_review. The annual 'sewer' entry still stands for 1 Sep 2027.</t>
        </is>
      </c>
    </row>
    <row r="14">
      <c r="A14" t="inlineStr">
        <is>
          <t xml:space="preserve">T-Mobile Lia</t>
        </is>
      </c>
      <c r="B14" t="inlineStr">
        <is>
          <t xml:space="preserve">Utilities</t>
        </is>
      </c>
      <c r="C14" s="9">
        <v>20.75</v>
      </c>
      <c r="D14" t="inlineStr">
        <is>
          <t xml:space="preserve">Monthly, 11th</t>
        </is>
      </c>
      <c r="E14" t="inlineStr">
        <is>
          <t xml:space="preserve">Fixed amount</t>
        </is>
      </c>
      <c r="F14" s="21" t="inlineStr">
        <is>
          <t xml:space="preserve">2026-10-11</t>
        </is>
      </c>
      <c r="G14" s="20">
        <v>12</v>
      </c>
      <c r="H14" s="10">
        <v>20.75</v>
      </c>
      <c r="I14" s="9">
        <v>249.00</v>
      </c>
      <c r="J14" s="11"/>
      <c r="K14" s="20">
        <v>2</v>
      </c>
      <c r="L14" s="21" t="inlineStr">
        <is>
          <t xml:space="preserve">yes</t>
        </is>
      </c>
      <c r="M14" s="21"/>
      <c r="N14" s="21"/>
      <c r="O14" s="21" t="inlineStr">
        <is>
          <t xml:space="preserve">yes</t>
        </is>
      </c>
      <c r="P14" s="21" t="inlineStr">
        <is>
          <t xml:space="preserve">high</t>
        </is>
      </c>
      <c r="Q14"/>
      <c r="R14" s="7"/>
    </row>
    <row r="15">
      <c r="A15" t="inlineStr">
        <is>
          <t xml:space="preserve">Republic trash Q4</t>
        </is>
      </c>
      <c r="B15" t="inlineStr">
        <is>
          <t xml:space="preserve">Utilities</t>
        </is>
      </c>
      <c r="C15" s="9">
        <v>177.30</v>
      </c>
      <c r="D15" t="inlineStr">
        <is>
          <t xml:space="preserve">One-off, 7 Oct 2026</t>
        </is>
      </c>
      <c r="E15" t="inlineStr">
        <is>
          <t xml:space="preserve">Worst case (observed max)</t>
        </is>
      </c>
      <c r="F15" s="21" t="inlineStr">
        <is>
          <t xml:space="preserve">2026-10-07</t>
        </is>
      </c>
      <c r="G15" s="20">
        <v>1</v>
      </c>
      <c r="H15" s="10">
        <v>14.78</v>
      </c>
      <c r="I15" s="9">
        <v>177.30</v>
      </c>
      <c r="J15" s="11"/>
      <c r="K15" s="20">
        <v>4</v>
      </c>
      <c r="L15" s="21"/>
      <c r="M15" s="21" t="inlineStr">
        <is>
          <t xml:space="preserve">yes</t>
        </is>
      </c>
      <c r="N15" s="21"/>
      <c r="O15" s="21" t="inlineStr">
        <is>
          <t xml:space="preserve">yes</t>
        </is>
      </c>
      <c r="P15" s="21" t="inlineStr">
        <is>
          <t xml:space="preserve">medium</t>
        </is>
      </c>
      <c r="Q15" t="inlineStr">
        <is>
          <t xml:space="preserve">$168.12 - $177.30</t>
        </is>
      </c>
      <c r="R15" s="7" t="inlineStr">
        <is>
          <t xml:space="preserve">CORRECTED from biweekly $92.00 to QUARTERLY $177.30. Observed 01/07 $168.12 and 04/07 $177.30, exactly 90 days apart. Modelled as dated one-offs because the schema has no quarterly frequency.</t>
        </is>
      </c>
    </row>
    <row r="16">
      <c r="A16" t="inlineStr">
        <is>
          <t xml:space="preserve">Republic trash Q1</t>
        </is>
      </c>
      <c r="B16" t="inlineStr">
        <is>
          <t xml:space="preserve">Utilities</t>
        </is>
      </c>
      <c r="C16" s="9">
        <v>177.30</v>
      </c>
      <c r="D16" t="inlineStr">
        <is>
          <t xml:space="preserve">One-off, 7 Jan 2027</t>
        </is>
      </c>
      <c r="E16" t="inlineStr">
        <is>
          <t xml:space="preserve">Worst case (observed max)</t>
        </is>
      </c>
      <c r="F16" s="21" t="inlineStr">
        <is>
          <t xml:space="preserve">2027-01-07</t>
        </is>
      </c>
      <c r="G16" s="20">
        <v>1</v>
      </c>
      <c r="H16" s="10">
        <v>14.78</v>
      </c>
      <c r="I16" s="9">
        <v>177.30</v>
      </c>
      <c r="J16" s="11"/>
      <c r="K16" s="20">
        <v>4</v>
      </c>
      <c r="L16" s="21"/>
      <c r="M16" s="21" t="inlineStr">
        <is>
          <t xml:space="preserve">yes</t>
        </is>
      </c>
      <c r="N16" s="21"/>
      <c r="O16" s="21" t="inlineStr">
        <is>
          <t xml:space="preserve">yes</t>
        </is>
      </c>
      <c r="P16" s="21" t="inlineStr">
        <is>
          <t xml:space="preserve">medium</t>
        </is>
      </c>
      <c r="Q16" t="inlineStr">
        <is>
          <t xml:space="preserve">$168.12 - $177.30</t>
        </is>
      </c>
      <c r="R16" s="7" t="inlineStr">
        <is>
          <t xml:space="preserve">See trash. Next quarterly instalment.</t>
        </is>
      </c>
    </row>
    <row r="17">
      <c r="A17" t="inlineStr">
        <is>
          <t xml:space="preserve">Hanover Auto</t>
        </is>
      </c>
      <c r="B17" t="inlineStr">
        <is>
          <t xml:space="preserve">Insurance</t>
        </is>
      </c>
      <c r="C17" s="9">
        <v>513.27</v>
      </c>
      <c r="D17" t="inlineStr">
        <is>
          <t xml:space="preserve">Monthly, 12th</t>
        </is>
      </c>
      <c r="E17" t="inlineStr">
        <is>
          <t xml:space="preserve">Fixed amount</t>
        </is>
      </c>
      <c r="F17" s="21" t="inlineStr">
        <is>
          <t xml:space="preserve">2026-10-12</t>
        </is>
      </c>
      <c r="G17" s="20">
        <v>12</v>
      </c>
      <c r="H17" s="10">
        <v>513.27</v>
      </c>
      <c r="I17" s="9">
        <v>6159.24</v>
      </c>
      <c r="J17" s="11"/>
      <c r="K17" s="20">
        <v>2</v>
      </c>
      <c r="L17" s="21"/>
      <c r="M17" s="21"/>
      <c r="N17" s="21"/>
      <c r="O17" s="21"/>
      <c r="P17" s="21" t="inlineStr">
        <is>
          <t xml:space="preserve">high</t>
        </is>
      </c>
      <c r="Q17"/>
      <c r="R17" s="7" t="inlineStr">
        <is>
          <t xml:space="preserve">Amount corrected from $750.00, due day from 9 to 12.</t>
        </is>
      </c>
    </row>
    <row r="18">
      <c r="A18" t="inlineStr">
        <is>
          <t xml:space="preserve">Kia</t>
        </is>
      </c>
      <c r="B18" t="inlineStr">
        <is>
          <t xml:space="preserve">Transportation</t>
        </is>
      </c>
      <c r="C18" s="9">
        <v>742.65</v>
      </c>
      <c r="D18" t="inlineStr">
        <is>
          <t xml:space="preserve">Monthly, 24th</t>
        </is>
      </c>
      <c r="E18" t="inlineStr">
        <is>
          <t xml:space="preserve">Fixed amount</t>
        </is>
      </c>
      <c r="F18" s="21" t="inlineStr">
        <is>
          <t xml:space="preserve">2026-09-24</t>
        </is>
      </c>
      <c r="G18" s="20">
        <v>12</v>
      </c>
      <c r="H18" s="10">
        <v>742.65</v>
      </c>
      <c r="I18" s="9">
        <v>8911.80</v>
      </c>
      <c r="J18" s="11"/>
      <c r="K18" s="20">
        <v>1</v>
      </c>
      <c r="L18" s="21" t="inlineStr">
        <is>
          <t xml:space="preserve">yes</t>
        </is>
      </c>
      <c r="M18" s="21"/>
      <c r="N18" s="21" t="inlineStr">
        <is>
          <t xml:space="preserve">yes</t>
        </is>
      </c>
      <c r="O18" s="21"/>
      <c r="P18" s="21" t="inlineStr">
        <is>
          <t xml:space="preserve">high</t>
        </is>
      </c>
      <c r="Q18"/>
      <c r="R18" s="7" t="inlineStr">
        <is>
          <t xml:space="preserve">Amount corrected from $578.64. Actually recurs every 28 days (05/04, 06/01, 06/29), not monthly, so it drifts earlier and yields 13 payments in some years. due_day 24 tracks the next two occurrences; revisit each quarter.</t>
        </is>
      </c>
    </row>
    <row r="19">
      <c r="A19" t="inlineStr">
        <is>
          <t xml:space="preserve">Fuel</t>
        </is>
      </c>
      <c r="B19" t="inlineStr">
        <is>
          <t xml:space="preserve">Transportation</t>
        </is>
      </c>
      <c r="C19" s="9">
        <v>90.77</v>
      </c>
      <c r="D19" t="inlineStr">
        <is>
          <t xml:space="preserve">Weekly (52 a year)</t>
        </is>
      </c>
      <c r="E19" t="inlineStr">
        <is>
          <t xml:space="preserve">Average (frequent draw)</t>
        </is>
      </c>
      <c r="F19" s="21" t="inlineStr">
        <is>
          <t xml:space="preserve">2026-09-27</t>
        </is>
      </c>
      <c r="G19" s="20">
        <v>52</v>
      </c>
      <c r="H19" s="10">
        <v>393.34</v>
      </c>
      <c r="I19" s="9">
        <v>4720.04</v>
      </c>
      <c r="J19" s="11"/>
      <c r="K19" s="20">
        <v>2</v>
      </c>
      <c r="L19" s="21"/>
      <c r="M19" s="21" t="inlineStr">
        <is>
          <t xml:space="preserve">yes</t>
        </is>
      </c>
      <c r="N19" s="21"/>
      <c r="O19" s="21"/>
      <c r="P19" s="21" t="inlineStr">
        <is>
          <t xml:space="preserve">medium</t>
        </is>
      </c>
      <c r="Q19" t="inlineStr">
        <is>
          <t xml:space="preserve">$20.00 - $447.12</t>
        </is>
      </c>
      <c r="R19" s="7" t="inlineStr">
        <is>
          <t xml:space="preserve">ACTUAL, not budget. Mean of 69 full weeks is $90.77/wk (median $65.53). The household sheet said $95.48 - close, and slightly high.</t>
        </is>
      </c>
    </row>
    <row r="20">
      <c r="A20" t="inlineStr">
        <is>
          <t xml:space="preserve">CCU car loan</t>
        </is>
      </c>
      <c r="B20" t="inlineStr">
        <is>
          <t xml:space="preserve">Transportation</t>
        </is>
      </c>
      <c r="C20" s="9">
        <v>306.90</v>
      </c>
      <c r="D20" t="inlineStr">
        <is>
          <t xml:space="preserve">Monthly, 18th</t>
        </is>
      </c>
      <c r="E20" t="inlineStr">
        <is>
          <t xml:space="preserve">Fixed amount</t>
        </is>
      </c>
      <c r="F20" s="21" t="inlineStr">
        <is>
          <t xml:space="preserve">2026-10-18</t>
        </is>
      </c>
      <c r="G20" s="20">
        <v>12</v>
      </c>
      <c r="H20" s="10">
        <v>306.90</v>
      </c>
      <c r="I20" s="9">
        <v>3682.80</v>
      </c>
      <c r="J20" s="11"/>
      <c r="K20" s="20">
        <v>1</v>
      </c>
      <c r="L20" s="21" t="inlineStr">
        <is>
          <t xml:space="preserve">yes</t>
        </is>
      </c>
      <c r="M20" s="21"/>
      <c r="N20" s="21" t="inlineStr">
        <is>
          <t xml:space="preserve">yes</t>
        </is>
      </c>
      <c r="O20" s="21"/>
      <c r="P20" s="21" t="inlineStr">
        <is>
          <t xml:space="preserve">high</t>
        </is>
      </c>
      <c r="Q20"/>
      <c r="R20" s="7" t="inlineStr">
        <is>
          <t xml:space="preserve">FOUND in the statements under 'CONSUMERSCREDITCK-WTH', which is why the earlier search for 'CCU' missed it. $306.90 on 01/20, 02/18, 03/18, 04/20, 05/18 and 06/18/2026. Secured against the car, so never proposed for deferral.</t>
        </is>
      </c>
    </row>
    <row r="21">
      <c r="A21" t="inlineStr">
        <is>
          <t xml:space="preserve">Groceries</t>
        </is>
      </c>
      <c r="B21" t="inlineStr">
        <is>
          <t xml:space="preserve">Groceries</t>
        </is>
      </c>
      <c r="C21" s="9">
        <v>319.09</v>
      </c>
      <c r="D21" t="inlineStr">
        <is>
          <t xml:space="preserve">Weekly (52 a year)</t>
        </is>
      </c>
      <c r="E21" t="inlineStr">
        <is>
          <t xml:space="preserve">Average (frequent draw)</t>
        </is>
      </c>
      <c r="F21" s="21" t="inlineStr">
        <is>
          <t xml:space="preserve">2026-09-27</t>
        </is>
      </c>
      <c r="G21" s="20">
        <v>52</v>
      </c>
      <c r="H21" s="10">
        <v>1382.72</v>
      </c>
      <c r="I21" s="9">
        <v>16592.68</v>
      </c>
      <c r="J21" s="11"/>
      <c r="K21" s="20">
        <v>2</v>
      </c>
      <c r="L21" s="21"/>
      <c r="M21" s="21" t="inlineStr">
        <is>
          <t xml:space="preserve">yes</t>
        </is>
      </c>
      <c r="N21" s="21"/>
      <c r="O21" s="21"/>
      <c r="P21" s="21" t="inlineStr">
        <is>
          <t xml:space="preserve">medium</t>
        </is>
      </c>
      <c r="Q21" t="inlineStr">
        <is>
          <t xml:space="preserve">$12.78 - $791.32</t>
        </is>
      </c>
      <c r="R21" s="7" t="inlineStr">
        <is>
          <t xml:space="preserve">ACTUAL, not budget. Mean of 81 full weeks in the statements is $319.09/wk (median $302.15, range $12.78-$791.32). The household sheet said $282.35, under by $36.74/wk. The mean is used rather than the median because under-forecasting an outflow is the direction that causes overdrafts.</t>
        </is>
      </c>
    </row>
    <row r="22">
      <c r="A22" t="inlineStr">
        <is>
          <t xml:space="preserve">Loew &amp; Patel braces</t>
        </is>
      </c>
      <c r="B22" t="inlineStr">
        <is>
          <t xml:space="preserve">Medical &amp; dental</t>
        </is>
      </c>
      <c r="C22" s="9">
        <v>400.00</v>
      </c>
      <c r="D22" t="inlineStr">
        <is>
          <t xml:space="preserve">Monthly, 15th</t>
        </is>
      </c>
      <c r="E22" t="inlineStr">
        <is>
          <t xml:space="preserve">Average (variable)</t>
        </is>
      </c>
      <c r="F22" s="21" t="inlineStr">
        <is>
          <t xml:space="preserve">2026-10-15</t>
        </is>
      </c>
      <c r="G22" s="20">
        <v>12</v>
      </c>
      <c r="H22" s="10">
        <v>400.00</v>
      </c>
      <c r="I22" s="9">
        <v>4800.00</v>
      </c>
      <c r="J22" s="11"/>
      <c r="K22" s="20">
        <v>4</v>
      </c>
      <c r="L22" s="21"/>
      <c r="M22" s="21" t="inlineStr">
        <is>
          <t xml:space="preserve">yes</t>
        </is>
      </c>
      <c r="N22" s="21"/>
      <c r="O22" s="21" t="inlineStr">
        <is>
          <t xml:space="preserve">yes</t>
        </is>
      </c>
      <c r="P22" s="21" t="inlineStr">
        <is>
          <t xml:space="preserve">low</t>
        </is>
      </c>
      <c r="Q22"/>
      <c r="R22" s="7" t="inlineStr">
        <is>
          <t xml:space="preserve">SCHEDULE UNKNOWN - flagged, not guessed. The statements show $1,000.00 on 06/10/2026, $129.47 on 04/29 and 06/24, and smaller amounts through the spring. No pattern is derivable. Held at the household's $400.00/month placeholder. observed_max is deliberately NOT set: with it, the engine forecast the one-off $1,000.00 every month, stacking a worst-case rule on top of a figure that was already a guess. Replace the whole entry once Loew &amp; Patel confirm the remaining schedule.</t>
        </is>
      </c>
    </row>
    <row r="23">
      <c r="A23" t="inlineStr">
        <is>
          <t xml:space="preserve">NJ Total Select 1of4</t>
        </is>
      </c>
      <c r="B23" t="inlineStr">
        <is>
          <t xml:space="preserve">Kids &amp; activities</t>
        </is>
      </c>
      <c r="C23" s="9">
        <v>517.50</v>
      </c>
      <c r="D23" t="inlineStr">
        <is>
          <t xml:space="preserve">One-off, 6 Oct 2026</t>
        </is>
      </c>
      <c r="E23" t="inlineStr">
        <is>
          <t xml:space="preserve">Fixed amount</t>
        </is>
      </c>
      <c r="F23" s="21" t="inlineStr">
        <is>
          <t xml:space="preserve">2026-10-06</t>
        </is>
      </c>
      <c r="G23" s="20">
        <v>1</v>
      </c>
      <c r="H23" s="10">
        <v>43.13</v>
      </c>
      <c r="I23" s="9">
        <v>517.50</v>
      </c>
      <c r="J23" s="11"/>
      <c r="K23" s="20">
        <v>4</v>
      </c>
      <c r="L23" s="21"/>
      <c r="M23" s="21"/>
      <c r="N23" s="21"/>
      <c r="O23" s="21" t="inlineStr">
        <is>
          <t xml:space="preserve">yes</t>
        </is>
      </c>
      <c r="P23" s="21" t="inlineStr">
        <is>
          <t xml:space="preserve">high</t>
        </is>
      </c>
      <c r="Q23"/>
      <c r="R23" s="7" t="inlineStr">
        <is>
          <t xml:space="preserve">ACTUAL from the club portal (household, 11 Aug 2026): $500.00 due 2026-10-06. Modelled at $517.50 because every card payment in 19 months of statements carried the club's 3.5% convenience fee ($475.00 became $491.63). Paying by Venmo or check costs $500.00 - the one Venmo payment on 11/01/2024 was charged no fee, so doing that across all four saves $70.00. Replaces my earlier estimate of three instalments at $491.63; the dates were right, the amount was low and there is a fourth in May.</t>
        </is>
      </c>
    </row>
    <row r="24">
      <c r="A24" t="inlineStr">
        <is>
          <t xml:space="preserve">NJ Total Select 2of4</t>
        </is>
      </c>
      <c r="B24" t="inlineStr">
        <is>
          <t xml:space="preserve">Kids &amp; activities</t>
        </is>
      </c>
      <c r="C24" s="9">
        <v>517.50</v>
      </c>
      <c r="D24" t="inlineStr">
        <is>
          <t xml:space="preserve">One-off, 12 Jan 2027</t>
        </is>
      </c>
      <c r="E24" t="inlineStr">
        <is>
          <t xml:space="preserve">Fixed amount</t>
        </is>
      </c>
      <c r="F24" s="21" t="inlineStr">
        <is>
          <t xml:space="preserve">2027-01-12</t>
        </is>
      </c>
      <c r="G24" s="20">
        <v>1</v>
      </c>
      <c r="H24" s="10">
        <v>43.13</v>
      </c>
      <c r="I24" s="9">
        <v>517.50</v>
      </c>
      <c r="J24" s="11"/>
      <c r="K24" s="20">
        <v>4</v>
      </c>
      <c r="L24" s="21"/>
      <c r="M24" s="21"/>
      <c r="N24" s="21"/>
      <c r="O24" s="21" t="inlineStr">
        <is>
          <t xml:space="preserve">yes</t>
        </is>
      </c>
      <c r="P24" s="21" t="inlineStr">
        <is>
          <t xml:space="preserve">high</t>
        </is>
      </c>
      <c r="Q24"/>
      <c r="R24" s="7" t="inlineStr">
        <is>
          <t xml:space="preserve">ACTUAL from the club portal (household, 11 Aug 2026): $500.00 due 2027-01-12. Modelled at $517.50 because every card payment in 19 months of statements carried the club's 3.5% convenience fee ($475.00 became $491.63). Paying by Venmo or check costs $500.00 - the one Venmo payment on 11/01/2024 was charged no fee, so doing that across all four saves $70.00. Replaces my earlier estimate of three instalments at $491.63; the dates were right, the amount was low and there is a fourth in May.</t>
        </is>
      </c>
    </row>
    <row r="25">
      <c r="A25" t="inlineStr">
        <is>
          <t xml:space="preserve">NJ Total Select 3of4</t>
        </is>
      </c>
      <c r="B25" t="inlineStr">
        <is>
          <t xml:space="preserve">Kids &amp; activities</t>
        </is>
      </c>
      <c r="C25" s="9">
        <v>517.50</v>
      </c>
      <c r="D25" t="inlineStr">
        <is>
          <t xml:space="preserve">One-off, 9 Mar 2027</t>
        </is>
      </c>
      <c r="E25" t="inlineStr">
        <is>
          <t xml:space="preserve">Fixed amount</t>
        </is>
      </c>
      <c r="F25" s="21" t="inlineStr">
        <is>
          <t xml:space="preserve">2027-03-09</t>
        </is>
      </c>
      <c r="G25" s="20">
        <v>1</v>
      </c>
      <c r="H25" s="10">
        <v>43.13</v>
      </c>
      <c r="I25" s="9">
        <v>517.50</v>
      </c>
      <c r="J25" s="11"/>
      <c r="K25" s="20">
        <v>4</v>
      </c>
      <c r="L25" s="21"/>
      <c r="M25" s="21"/>
      <c r="N25" s="21"/>
      <c r="O25" s="21" t="inlineStr">
        <is>
          <t xml:space="preserve">yes</t>
        </is>
      </c>
      <c r="P25" s="21" t="inlineStr">
        <is>
          <t xml:space="preserve">high</t>
        </is>
      </c>
      <c r="Q25"/>
      <c r="R25" s="7" t="inlineStr">
        <is>
          <t xml:space="preserve">ACTUAL from the club portal (household, 11 Aug 2026): $500.00 due 2027-03-09. Modelled at $517.50 because every card payment in 19 months of statements carried the club's 3.5% convenience fee ($475.00 became $491.63). Paying by Venmo or check costs $500.00 - the one Venmo payment on 11/01/2024 was charged no fee, so doing that across all four saves $70.00. Replaces my earlier estimate of three instalments at $491.63; the dates were right, the amount was low and there is a fourth in May.</t>
        </is>
      </c>
    </row>
    <row r="26">
      <c r="A26" t="inlineStr">
        <is>
          <t xml:space="preserve">NJ Total Select 4of4</t>
        </is>
      </c>
      <c r="B26" t="inlineStr">
        <is>
          <t xml:space="preserve">Kids &amp; activities</t>
        </is>
      </c>
      <c r="C26" s="9">
        <v>517.50</v>
      </c>
      <c r="D26" t="inlineStr">
        <is>
          <t xml:space="preserve">One-off, 18 May 2027</t>
        </is>
      </c>
      <c r="E26" t="inlineStr">
        <is>
          <t xml:space="preserve">Fixed amount</t>
        </is>
      </c>
      <c r="F26" s="21" t="inlineStr">
        <is>
          <t xml:space="preserve">2027-05-18</t>
        </is>
      </c>
      <c r="G26" s="20">
        <v>1</v>
      </c>
      <c r="H26" s="10">
        <v>43.13</v>
      </c>
      <c r="I26" s="9">
        <v>517.50</v>
      </c>
      <c r="J26" s="11"/>
      <c r="K26" s="20">
        <v>4</v>
      </c>
      <c r="L26" s="21"/>
      <c r="M26" s="21"/>
      <c r="N26" s="21"/>
      <c r="O26" s="21" t="inlineStr">
        <is>
          <t xml:space="preserve">yes</t>
        </is>
      </c>
      <c r="P26" s="21" t="inlineStr">
        <is>
          <t xml:space="preserve">high</t>
        </is>
      </c>
      <c r="Q26"/>
      <c r="R26" s="7" t="inlineStr">
        <is>
          <t xml:space="preserve">ACTUAL from the club portal (household, 11 Aug 2026): $500.00 due 2027-05-18. Modelled at $517.50 because every card payment in 19 months of statements carried the club's 3.5% convenience fee ($475.00 became $491.63). Paying by Venmo or check costs $500.00 - the one Venmo payment on 11/01/2024 was charged no fee, so doing that across all four saves $70.00. Replaces my earlier estimate of three instalments at $491.63; the dates were right, the amount was low and there is a fourth in May.</t>
        </is>
      </c>
    </row>
    <row r="27">
      <c r="A27" t="inlineStr">
        <is>
          <t xml:space="preserve">One Main loan</t>
        </is>
      </c>
      <c r="B27" t="inlineStr">
        <is>
          <t xml:space="preserve">Loans</t>
        </is>
      </c>
      <c r="C27" s="9">
        <v>388.24</v>
      </c>
      <c r="D27" t="inlineStr">
        <is>
          <t xml:space="preserve">Monthly, 6th</t>
        </is>
      </c>
      <c r="E27" t="inlineStr">
        <is>
          <t xml:space="preserve">Fixed amount</t>
        </is>
      </c>
      <c r="F27" s="21" t="inlineStr">
        <is>
          <t xml:space="preserve">2026-10-06</t>
        </is>
      </c>
      <c r="G27" s="20">
        <v>12</v>
      </c>
      <c r="H27" s="10">
        <v>388.24</v>
      </c>
      <c r="I27" s="9">
        <v>4658.88</v>
      </c>
      <c r="J27" s="11"/>
      <c r="K27" s="20">
        <v>3</v>
      </c>
      <c r="L27" s="21" t="inlineStr">
        <is>
          <t xml:space="preserve">yes</t>
        </is>
      </c>
      <c r="M27" s="21"/>
      <c r="N27" s="21"/>
      <c r="O27" s="21"/>
      <c r="P27" s="21" t="inlineStr">
        <is>
          <t xml:space="preserve">high</t>
        </is>
      </c>
      <c r="Q27"/>
      <c r="R27" s="7"/>
    </row>
    <row r="28">
      <c r="A28" t="inlineStr">
        <is>
          <t xml:space="preserve">Upstart past bills (from Sep)</t>
        </is>
      </c>
      <c r="B28" t="inlineStr">
        <is>
          <t xml:space="preserve">Loans</t>
        </is>
      </c>
      <c r="C28" s="9">
        <v>337.61</v>
      </c>
      <c r="D28" t="inlineStr">
        <is>
          <t xml:space="preserve">Monthly, 24th</t>
        </is>
      </c>
      <c r="E28" t="inlineStr">
        <is>
          <t xml:space="preserve">Fixed amount</t>
        </is>
      </c>
      <c r="F28" s="21" t="inlineStr">
        <is>
          <t xml:space="preserve">2026-09-24</t>
        </is>
      </c>
      <c r="G28" s="20">
        <v>12</v>
      </c>
      <c r="H28" s="10">
        <v>337.61</v>
      </c>
      <c r="I28" s="9">
        <v>4051.32</v>
      </c>
      <c r="J28" s="11"/>
      <c r="K28" s="20">
        <v>3</v>
      </c>
      <c r="L28" s="21" t="inlineStr">
        <is>
          <t xml:space="preserve">yes</t>
        </is>
      </c>
      <c r="M28" s="21"/>
      <c r="N28" s="21"/>
      <c r="O28" s="21"/>
      <c r="P28" s="21" t="inlineStr">
        <is>
          <t xml:space="preserve">high</t>
        </is>
      </c>
      <c r="Q28"/>
      <c r="R28" s="7" t="inlineStr">
        <is>
          <t xml:space="preserve">Steps up from $86.46 on 24 Sep 2026 per the household. The household said the reduced rate ran 'two months'; if that means it ends after 24 Aug rather than 24 Sep, this start date is a month late and the forecast is optimistic by $251.15 for September. Confirm.</t>
        </is>
      </c>
    </row>
    <row r="29">
      <c r="A29" t="inlineStr">
        <is>
          <t xml:space="preserve">Upstart debt consol</t>
        </is>
      </c>
      <c r="B29" t="inlineStr">
        <is>
          <t xml:space="preserve">Loans</t>
        </is>
      </c>
      <c r="C29" s="9">
        <v>161.00</v>
      </c>
      <c r="D29" t="inlineStr">
        <is>
          <t xml:space="preserve">Monthly, 15th</t>
        </is>
      </c>
      <c r="E29" t="inlineStr">
        <is>
          <t xml:space="preserve">Fixed amount</t>
        </is>
      </c>
      <c r="F29" s="21" t="inlineStr">
        <is>
          <t xml:space="preserve">2026-10-15</t>
        </is>
      </c>
      <c r="G29" s="20">
        <v>12</v>
      </c>
      <c r="H29" s="10">
        <v>161.00</v>
      </c>
      <c r="I29" s="9">
        <v>1932.00</v>
      </c>
      <c r="J29" s="11"/>
      <c r="K29" s="20">
        <v>3</v>
      </c>
      <c r="L29" s="21" t="inlineStr">
        <is>
          <t xml:space="preserve">yes</t>
        </is>
      </c>
      <c r="M29" s="21"/>
      <c r="N29" s="21"/>
      <c r="O29" s="21"/>
      <c r="P29" s="21" t="inlineStr">
        <is>
          <t xml:space="preserve">high</t>
        </is>
      </c>
      <c r="Q29"/>
      <c r="R29" s="7" t="inlineStr">
        <is>
          <t xml:space="preserve">Renegotiated to $161.00 (household, 11 Aug 2026). Was $1,244.29 for 12 months - a $1,083.29/month reduction, the single largest change in this ledger.</t>
        </is>
      </c>
    </row>
    <row r="30">
      <c r="A30" t="inlineStr">
        <is>
          <t xml:space="preserve">PNC</t>
        </is>
      </c>
      <c r="B30" t="inlineStr">
        <is>
          <t xml:space="preserve">Loans</t>
        </is>
      </c>
      <c r="C30" s="9">
        <v>70.00</v>
      </c>
      <c r="D30" t="inlineStr">
        <is>
          <t xml:space="preserve">Monthly, 8th</t>
        </is>
      </c>
      <c r="E30" t="inlineStr">
        <is>
          <t xml:space="preserve">Worst case (observed max)</t>
        </is>
      </c>
      <c r="F30" s="21" t="inlineStr">
        <is>
          <t xml:space="preserve">2026-10-08</t>
        </is>
      </c>
      <c r="G30" s="20">
        <v>12</v>
      </c>
      <c r="H30" s="10">
        <v>150.00</v>
      </c>
      <c r="I30" s="9">
        <v>1800.00</v>
      </c>
      <c r="J30" s="11">
        <v>960.00</v>
      </c>
      <c r="K30" s="20">
        <v>3</v>
      </c>
      <c r="L30" s="21"/>
      <c r="M30" s="21" t="inlineStr">
        <is>
          <t xml:space="preserve">yes</t>
        </is>
      </c>
      <c r="N30" s="21"/>
      <c r="O30" s="21" t="inlineStr">
        <is>
          <t xml:space="preserve">yes</t>
        </is>
      </c>
      <c r="P30" s="21" t="inlineStr">
        <is>
          <t xml:space="preserve">low</t>
        </is>
      </c>
      <c r="Q30" t="inlineStr">
        <is>
          <t xml:space="preserve">$70.00 - $150.00</t>
        </is>
      </c>
      <c r="R30" s="7" t="inlineStr">
        <is>
          <t xml:space="preserve">Varies $70.00-$150.00 and the date moves. $70.00 is the recent floor.</t>
        </is>
      </c>
    </row>
    <row r="31">
      <c r="A31" t="inlineStr">
        <is>
          <t xml:space="preserve">Upgrade basement</t>
        </is>
      </c>
      <c r="B31" t="inlineStr">
        <is>
          <t xml:space="preserve">Loans</t>
        </is>
      </c>
      <c r="C31" s="9">
        <v>86.36</v>
      </c>
      <c r="D31" t="inlineStr">
        <is>
          <t xml:space="preserve">Monthly, 18th</t>
        </is>
      </c>
      <c r="E31" t="inlineStr">
        <is>
          <t xml:space="preserve">Fixed amount</t>
        </is>
      </c>
      <c r="F31" s="21" t="inlineStr">
        <is>
          <t xml:space="preserve">2026-10-18</t>
        </is>
      </c>
      <c r="G31" s="20">
        <v>12</v>
      </c>
      <c r="H31" s="10">
        <v>86.36</v>
      </c>
      <c r="I31" s="9">
        <v>1036.32</v>
      </c>
      <c r="J31" s="11"/>
      <c r="K31" s="20">
        <v>3</v>
      </c>
      <c r="L31" s="21" t="inlineStr">
        <is>
          <t xml:space="preserve">yes</t>
        </is>
      </c>
      <c r="M31" s="21"/>
      <c r="N31" s="21"/>
      <c r="O31" s="21"/>
      <c r="P31" s="21" t="inlineStr">
        <is>
          <t xml:space="preserve">high</t>
        </is>
      </c>
      <c r="Q31"/>
      <c r="R31" s="7" t="inlineStr">
        <is>
          <t xml:space="preserve">Renegotiated to $86.36 (household, 11 Aug 2026). Was $287.85.</t>
        </is>
      </c>
    </row>
    <row r="32">
      <c r="A32" t="inlineStr">
        <is>
          <t xml:space="preserve">Affirm</t>
        </is>
      </c>
      <c r="B32" t="inlineStr">
        <is>
          <t xml:space="preserve">Loans</t>
        </is>
      </c>
      <c r="C32" s="9">
        <v>73.07</v>
      </c>
      <c r="D32" t="inlineStr">
        <is>
          <t xml:space="preserve">Monthly, 29th</t>
        </is>
      </c>
      <c r="E32" t="inlineStr">
        <is>
          <t xml:space="preserve">Fixed amount</t>
        </is>
      </c>
      <c r="F32" s="21" t="inlineStr">
        <is>
          <t xml:space="preserve">2026-09-29</t>
        </is>
      </c>
      <c r="G32" s="20">
        <v>12</v>
      </c>
      <c r="H32" s="10">
        <v>73.07</v>
      </c>
      <c r="I32" s="9">
        <v>876.84</v>
      </c>
      <c r="J32" s="11"/>
      <c r="K32" s="20">
        <v>3</v>
      </c>
      <c r="L32" s="21" t="inlineStr">
        <is>
          <t xml:space="preserve">yes</t>
        </is>
      </c>
      <c r="M32" s="21"/>
      <c r="N32" s="21"/>
      <c r="O32" s="21" t="inlineStr">
        <is>
          <t xml:space="preserve">yes</t>
        </is>
      </c>
      <c r="P32" s="21" t="inlineStr">
        <is>
          <t xml:space="preserve">high</t>
        </is>
      </c>
      <c r="Q32"/>
      <c r="R32" s="7" t="inlineStr">
        <is>
          <t xml:space="preserve">Stable monthly stream since 01/30/2026. Household sheet had day 18; actual is 29-30.</t>
        </is>
      </c>
    </row>
    <row r="33">
      <c r="A33" t="inlineStr">
        <is>
          <t xml:space="preserve">Upstart past bills</t>
        </is>
      </c>
      <c r="B33" t="inlineStr">
        <is>
          <t xml:space="preserve">Loans</t>
        </is>
      </c>
      <c r="C33" s="9">
        <v>86.46</v>
      </c>
      <c r="D33" t="inlineStr">
        <is>
          <t xml:space="preserve">Monthly, 24th</t>
        </is>
      </c>
      <c r="E33" t="inlineStr">
        <is>
          <t xml:space="preserve">Fixed amount</t>
        </is>
      </c>
      <c r="F33" s="21"/>
      <c r="G33" s="20">
        <v>0</v>
      </c>
      <c r="H33" s="10">
        <v>0.00</v>
      </c>
      <c r="I33" s="9">
        <v>0.00</v>
      </c>
      <c r="J33" s="11"/>
      <c r="K33" s="20">
        <v>3</v>
      </c>
      <c r="L33" s="21" t="inlineStr">
        <is>
          <t xml:space="preserve">yes</t>
        </is>
      </c>
      <c r="M33" s="21"/>
      <c r="N33" s="21"/>
      <c r="O33" s="21"/>
      <c r="P33" s="21" t="inlineStr">
        <is>
          <t xml:space="preserve">high</t>
        </is>
      </c>
      <c r="Q33"/>
      <c r="R33" s="7" t="inlineStr">
        <is>
          <t xml:space="preserve">Renegotiated. $86.46 temporarily (bank shows exactly $86.46 on 06/24/2026), stepping up to $337.61 from 24 Sep 2026 - see upstart-past-bills-step2. Modelled as two entries with adjoining windows so neither period is wrong.</t>
        </is>
      </c>
    </row>
    <row r="34">
      <c r="A34" t="inlineStr">
        <is>
          <t xml:space="preserve">Capital One CC</t>
        </is>
      </c>
      <c r="B34" t="inlineStr">
        <is>
          <t xml:space="preserve">Credit cards &amp; store accounts</t>
        </is>
      </c>
      <c r="C34" s="9">
        <v>105.00</v>
      </c>
      <c r="D34" t="inlineStr">
        <is>
          <t xml:space="preserve">Monthly, 17th</t>
        </is>
      </c>
      <c r="E34" t="inlineStr">
        <is>
          <t xml:space="preserve">Worst case (observed max)</t>
        </is>
      </c>
      <c r="F34" s="21" t="inlineStr">
        <is>
          <t xml:space="preserve">2026-10-17</t>
        </is>
      </c>
      <c r="G34" s="20">
        <v>12</v>
      </c>
      <c r="H34" s="10">
        <v>163.00</v>
      </c>
      <c r="I34" s="9">
        <v>1956.00</v>
      </c>
      <c r="J34" s="11">
        <v>696.00</v>
      </c>
      <c r="K34" s="20">
        <v>3</v>
      </c>
      <c r="L34" s="21" t="inlineStr">
        <is>
          <t xml:space="preserve">yes</t>
        </is>
      </c>
      <c r="M34" s="21" t="inlineStr">
        <is>
          <t xml:space="preserve">yes</t>
        </is>
      </c>
      <c r="N34" s="21"/>
      <c r="O34" s="21" t="inlineStr">
        <is>
          <t xml:space="preserve">yes</t>
        </is>
      </c>
      <c r="P34" s="21" t="inlineStr">
        <is>
          <t xml:space="preserve">medium</t>
        </is>
      </c>
      <c r="Q34" t="inlineStr">
        <is>
          <t xml:space="preserve">$154.00 - $163.00</t>
        </is>
      </c>
      <c r="R34" s="7" t="inlineStr">
        <is>
          <t xml:space="preserve">Renegotiated to $105.00 (household, 11 Aug 2026). Was $154.00.</t>
        </is>
      </c>
    </row>
    <row r="35">
      <c r="A35" t="inlineStr">
        <is>
          <t xml:space="preserve">Chase CC Amazon</t>
        </is>
      </c>
      <c r="B35" t="inlineStr">
        <is>
          <t xml:space="preserve">Credit cards &amp; store accounts</t>
        </is>
      </c>
      <c r="C35" s="9">
        <v>80.00</v>
      </c>
      <c r="D35" t="inlineStr">
        <is>
          <t xml:space="preserve">Monthly, 17th</t>
        </is>
      </c>
      <c r="E35" t="inlineStr">
        <is>
          <t xml:space="preserve">Worst case (observed max)</t>
        </is>
      </c>
      <c r="F35" s="21" t="inlineStr">
        <is>
          <t xml:space="preserve">2026-10-17</t>
        </is>
      </c>
      <c r="G35" s="20">
        <v>12</v>
      </c>
      <c r="H35" s="10">
        <v>136.00</v>
      </c>
      <c r="I35" s="9">
        <v>1632.00</v>
      </c>
      <c r="J35" s="11">
        <v>672.00</v>
      </c>
      <c r="K35" s="20">
        <v>3</v>
      </c>
      <c r="L35" s="21" t="inlineStr">
        <is>
          <t xml:space="preserve">yes</t>
        </is>
      </c>
      <c r="M35" s="21" t="inlineStr">
        <is>
          <t xml:space="preserve">yes</t>
        </is>
      </c>
      <c r="N35" s="21"/>
      <c r="O35" s="21" t="inlineStr">
        <is>
          <t xml:space="preserve">yes</t>
        </is>
      </c>
      <c r="P35" s="21" t="inlineStr">
        <is>
          <t xml:space="preserve">medium</t>
        </is>
      </c>
      <c r="Q35" t="inlineStr">
        <is>
          <t xml:space="preserve">$124.00 - $136.00</t>
        </is>
      </c>
      <c r="R35" s="7" t="inlineStr">
        <is>
          <t xml:space="preserve">Renegotiated to $80.00 (household, 11 Aug 2026). Card ending 8026. Autopay 16th-18th.</t>
        </is>
      </c>
    </row>
    <row r="36">
      <c r="A36" t="inlineStr">
        <is>
          <t xml:space="preserve">Lowes</t>
        </is>
      </c>
      <c r="B36" t="inlineStr">
        <is>
          <t xml:space="preserve">Credit cards &amp; store accounts</t>
        </is>
      </c>
      <c r="C36" s="9">
        <v>69.00</v>
      </c>
      <c r="D36" t="inlineStr">
        <is>
          <t xml:space="preserve">Monthly, 18th</t>
        </is>
      </c>
      <c r="E36" t="inlineStr">
        <is>
          <t xml:space="preserve">Worst case (observed max)</t>
        </is>
      </c>
      <c r="F36" s="21" t="inlineStr">
        <is>
          <t xml:space="preserve">2026-10-18</t>
        </is>
      </c>
      <c r="G36" s="20">
        <v>12</v>
      </c>
      <c r="H36" s="10">
        <v>126.00</v>
      </c>
      <c r="I36" s="9">
        <v>1512.00</v>
      </c>
      <c r="J36" s="11">
        <v>684.00</v>
      </c>
      <c r="K36" s="20">
        <v>5</v>
      </c>
      <c r="L36" s="21" t="inlineStr">
        <is>
          <t xml:space="preserve">yes</t>
        </is>
      </c>
      <c r="M36" s="21" t="inlineStr">
        <is>
          <t xml:space="preserve">yes</t>
        </is>
      </c>
      <c r="N36" s="21"/>
      <c r="O36" s="21" t="inlineStr">
        <is>
          <t xml:space="preserve">yes</t>
        </is>
      </c>
      <c r="P36" s="21" t="inlineStr">
        <is>
          <t xml:space="preserve">medium</t>
        </is>
      </c>
      <c r="Q36" t="inlineStr">
        <is>
          <t xml:space="preserve">$122.00 - $126.00</t>
        </is>
      </c>
      <c r="R36" s="7" t="inlineStr">
        <is>
          <t xml:space="preserve">Renegotiated to $69.00 (household, 11 Aug 2026). Was $122.00.</t>
        </is>
      </c>
    </row>
    <row r="37">
      <c r="A37" t="inlineStr">
        <is>
          <t xml:space="preserve">Home Depot</t>
        </is>
      </c>
      <c r="B37" t="inlineStr">
        <is>
          <t xml:space="preserve">Credit cards &amp; store accounts</t>
        </is>
      </c>
      <c r="C37" s="9">
        <v>100.00</v>
      </c>
      <c r="D37" t="inlineStr">
        <is>
          <t xml:space="preserve">Monthly, 14th</t>
        </is>
      </c>
      <c r="E37" t="inlineStr">
        <is>
          <t xml:space="preserve">Worst case (observed max)</t>
        </is>
      </c>
      <c r="F37" s="21" t="inlineStr">
        <is>
          <t xml:space="preserve">2026-10-14</t>
        </is>
      </c>
      <c r="G37" s="20">
        <v>12</v>
      </c>
      <c r="H37" s="10">
        <v>100.00</v>
      </c>
      <c r="I37" s="9">
        <v>1200.00</v>
      </c>
      <c r="J37" s="11"/>
      <c r="K37" s="20">
        <v>5</v>
      </c>
      <c r="L37" s="21" t="inlineStr">
        <is>
          <t xml:space="preserve">yes</t>
        </is>
      </c>
      <c r="M37" s="21" t="inlineStr">
        <is>
          <t xml:space="preserve">yes</t>
        </is>
      </c>
      <c r="N37" s="21"/>
      <c r="O37" s="21" t="inlineStr">
        <is>
          <t xml:space="preserve">yes</t>
        </is>
      </c>
      <c r="P37" s="21" t="inlineStr">
        <is>
          <t xml:space="preserve">low</t>
        </is>
      </c>
      <c r="Q37" t="inlineStr">
        <is>
          <t xml:space="preserve">$32.70 - $100.00</t>
        </is>
      </c>
      <c r="R37" s="7"/>
    </row>
    <row r="38">
      <c r="A38" t="inlineStr">
        <is>
          <t xml:space="preserve">Chase CC United</t>
        </is>
      </c>
      <c r="B38" t="inlineStr">
        <is>
          <t xml:space="preserve">Credit cards &amp; store accounts</t>
        </is>
      </c>
      <c r="C38" s="9">
        <v>46.00</v>
      </c>
      <c r="D38" t="inlineStr">
        <is>
          <t xml:space="preserve">Monthly, 22nd</t>
        </is>
      </c>
      <c r="E38" t="inlineStr">
        <is>
          <t xml:space="preserve">Worst case (observed max)</t>
        </is>
      </c>
      <c r="F38" s="21" t="inlineStr">
        <is>
          <t xml:space="preserve">2026-09-22</t>
        </is>
      </c>
      <c r="G38" s="20">
        <v>12</v>
      </c>
      <c r="H38" s="10">
        <v>88.00</v>
      </c>
      <c r="I38" s="9">
        <v>1056.00</v>
      </c>
      <c r="J38" s="11">
        <v>504.00</v>
      </c>
      <c r="K38" s="20">
        <v>3</v>
      </c>
      <c r="L38" s="21" t="inlineStr">
        <is>
          <t xml:space="preserve">yes</t>
        </is>
      </c>
      <c r="M38" s="21" t="inlineStr">
        <is>
          <t xml:space="preserve">yes</t>
        </is>
      </c>
      <c r="N38" s="21"/>
      <c r="O38" s="21" t="inlineStr">
        <is>
          <t xml:space="preserve">yes</t>
        </is>
      </c>
      <c r="P38" s="21" t="inlineStr">
        <is>
          <t xml:space="preserve">medium</t>
        </is>
      </c>
      <c r="Q38" t="inlineStr">
        <is>
          <t xml:space="preserve">$76.00 - $88.00</t>
        </is>
      </c>
      <c r="R38" s="7" t="inlineStr">
        <is>
          <t xml:space="preserve">Renegotiated to $46.00 (household, 11 Aug 2026). Card ending 6319. Autopay 21st-23rd.</t>
        </is>
      </c>
    </row>
    <row r="39">
      <c r="A39" t="inlineStr">
        <is>
          <t xml:space="preserve">Barclay Old Navy</t>
        </is>
      </c>
      <c r="B39" t="inlineStr">
        <is>
          <t xml:space="preserve">Credit cards &amp; store accounts</t>
        </is>
      </c>
      <c r="C39" s="9">
        <v>60.74</v>
      </c>
      <c r="D39" t="inlineStr">
        <is>
          <t xml:space="preserve">Monthly, 27th</t>
        </is>
      </c>
      <c r="E39" t="inlineStr">
        <is>
          <t xml:space="preserve">Worst case (observed max)</t>
        </is>
      </c>
      <c r="F39" s="21" t="inlineStr">
        <is>
          <t xml:space="preserve">2026-09-27</t>
        </is>
      </c>
      <c r="G39" s="20">
        <v>12</v>
      </c>
      <c r="H39" s="10">
        <v>84.78</v>
      </c>
      <c r="I39" s="9">
        <v>1017.36</v>
      </c>
      <c r="J39" s="11">
        <v>288.48</v>
      </c>
      <c r="K39" s="20">
        <v>3</v>
      </c>
      <c r="L39" s="21" t="inlineStr">
        <is>
          <t xml:space="preserve">yes</t>
        </is>
      </c>
      <c r="M39" s="21" t="inlineStr">
        <is>
          <t xml:space="preserve">yes</t>
        </is>
      </c>
      <c r="N39" s="21"/>
      <c r="O39" s="21" t="inlineStr">
        <is>
          <t xml:space="preserve">yes</t>
        </is>
      </c>
      <c r="P39" s="21" t="inlineStr">
        <is>
          <t xml:space="preserve">low</t>
        </is>
      </c>
      <c r="Q39" t="inlineStr">
        <is>
          <t xml:space="preserve">$52.98 - $84.78</t>
        </is>
      </c>
      <c r="R39" s="7"/>
    </row>
    <row r="40">
      <c r="A40" t="inlineStr">
        <is>
          <t xml:space="preserve">Comenity</t>
        </is>
      </c>
      <c r="B40" t="inlineStr">
        <is>
          <t xml:space="preserve">Credit cards &amp; store accounts</t>
        </is>
      </c>
      <c r="C40" s="9">
        <v>50.00</v>
      </c>
      <c r="D40" t="inlineStr">
        <is>
          <t xml:space="preserve">Monthly, 12th</t>
        </is>
      </c>
      <c r="E40" t="inlineStr">
        <is>
          <t xml:space="preserve">Worst case (observed max)</t>
        </is>
      </c>
      <c r="F40" s="21" t="inlineStr">
        <is>
          <t xml:space="preserve">2026-10-12</t>
        </is>
      </c>
      <c r="G40" s="20">
        <v>12</v>
      </c>
      <c r="H40" s="10">
        <v>65.00</v>
      </c>
      <c r="I40" s="9">
        <v>780.00</v>
      </c>
      <c r="J40" s="11">
        <v>180.00</v>
      </c>
      <c r="K40" s="20">
        <v>3</v>
      </c>
      <c r="L40" s="21"/>
      <c r="M40" s="21" t="inlineStr">
        <is>
          <t xml:space="preserve">yes</t>
        </is>
      </c>
      <c r="N40" s="21"/>
      <c r="O40" s="21" t="inlineStr">
        <is>
          <t xml:space="preserve">yes</t>
        </is>
      </c>
      <c r="P40" s="21" t="inlineStr">
        <is>
          <t xml:space="preserve">low</t>
        </is>
      </c>
      <c r="Q40" t="inlineStr">
        <is>
          <t xml:space="preserve">$40.00 - $65.00</t>
        </is>
      </c>
      <c r="R40" s="7" t="inlineStr">
        <is>
          <t xml:space="preserve">Irregular: 12/16, 02/03, 03/13, 05/05, 06/12, amounts $40.00-$65.00. Not on the household sheet.</t>
        </is>
      </c>
    </row>
    <row r="41">
      <c r="A41" t="inlineStr">
        <is>
          <t xml:space="preserve">TJX Rewards</t>
        </is>
      </c>
      <c r="B41" t="inlineStr">
        <is>
          <t xml:space="preserve">Credit cards &amp; store accounts</t>
        </is>
      </c>
      <c r="C41" s="9">
        <v>36.00</v>
      </c>
      <c r="D41" t="inlineStr">
        <is>
          <t xml:space="preserve">Monthly, 4th</t>
        </is>
      </c>
      <c r="E41" t="inlineStr">
        <is>
          <t xml:space="preserve">Fixed amount</t>
        </is>
      </c>
      <c r="F41" s="21" t="inlineStr">
        <is>
          <t xml:space="preserve">2026-10-04</t>
        </is>
      </c>
      <c r="G41" s="20">
        <v>12</v>
      </c>
      <c r="H41" s="10">
        <v>36.00</v>
      </c>
      <c r="I41" s="9">
        <v>432.00</v>
      </c>
      <c r="J41" s="11"/>
      <c r="K41" s="20">
        <v>5</v>
      </c>
      <c r="L41" s="21" t="inlineStr">
        <is>
          <t xml:space="preserve">yes</t>
        </is>
      </c>
      <c r="M41" s="21"/>
      <c r="N41" s="21"/>
      <c r="O41" s="21" t="inlineStr">
        <is>
          <t xml:space="preserve">yes</t>
        </is>
      </c>
      <c r="P41" s="21" t="inlineStr">
        <is>
          <t xml:space="preserve">high</t>
        </is>
      </c>
      <c r="Q41"/>
      <c r="R41" s="7"/>
    </row>
    <row r="42">
      <c r="A42" t="inlineStr">
        <is>
          <t xml:space="preserve">IRS state</t>
        </is>
      </c>
      <c r="B42" t="inlineStr">
        <is>
          <t xml:space="preserve">Taxes</t>
        </is>
      </c>
      <c r="C42" s="9">
        <v>114.00</v>
      </c>
      <c r="D42" t="inlineStr">
        <is>
          <t xml:space="preserve">Monthly, 19th</t>
        </is>
      </c>
      <c r="E42" t="inlineStr">
        <is>
          <t xml:space="preserve">Fixed amount</t>
        </is>
      </c>
      <c r="F42" s="21" t="inlineStr">
        <is>
          <t xml:space="preserve">2026-10-19</t>
        </is>
      </c>
      <c r="G42" s="20">
        <v>12</v>
      </c>
      <c r="H42" s="10">
        <v>114.00</v>
      </c>
      <c r="I42" s="9">
        <v>1368.00</v>
      </c>
      <c r="J42" s="11"/>
      <c r="K42" s="20">
        <v>2</v>
      </c>
      <c r="L42" s="21"/>
      <c r="M42" s="21"/>
      <c r="N42" s="21"/>
      <c r="O42" s="21"/>
      <c r="P42" s="21" t="inlineStr">
        <is>
          <t xml:space="preserve">high</t>
        </is>
      </c>
      <c r="Q42"/>
      <c r="R42" s="7" t="inlineStr">
        <is>
          <t xml:space="preserve">New, $114.00/month, per the household. Due day assumed the same as the federal instalment; confirm. Not yet visible in any statement.</t>
        </is>
      </c>
    </row>
    <row r="43">
      <c r="A43" t="inlineStr">
        <is>
          <t xml:space="preserve">IRS federal</t>
        </is>
      </c>
      <c r="B43" t="inlineStr">
        <is>
          <t xml:space="preserve">Taxes</t>
        </is>
      </c>
      <c r="C43" s="9">
        <v>103.00</v>
      </c>
      <c r="D43" t="inlineStr">
        <is>
          <t xml:space="preserve">Monthly, 19th</t>
        </is>
      </c>
      <c r="E43" t="inlineStr">
        <is>
          <t xml:space="preserve">Fixed amount</t>
        </is>
      </c>
      <c r="F43" s="21" t="inlineStr">
        <is>
          <t xml:space="preserve">2026-10-19</t>
        </is>
      </c>
      <c r="G43" s="20">
        <v>12</v>
      </c>
      <c r="H43" s="10">
        <v>103.00</v>
      </c>
      <c r="I43" s="9">
        <v>1236.00</v>
      </c>
      <c r="J43" s="11"/>
      <c r="K43" s="20">
        <v>2</v>
      </c>
      <c r="L43" s="21"/>
      <c r="M43" s="21"/>
      <c r="N43" s="21"/>
      <c r="O43" s="21"/>
      <c r="P43" s="21" t="inlineStr">
        <is>
          <t xml:space="preserve">high</t>
        </is>
      </c>
      <c r="Q43"/>
      <c r="R43" s="7" t="inlineStr">
        <is>
          <t xml:space="preserve">New instalment plan, $103.00/month, per the household. Not yet visible in any statement. Non-deferrable: missing an IRS instalment can void the agreement.</t>
        </is>
      </c>
    </row>
    <row r="44">
      <c r="A44" t="inlineStr">
        <is>
          <t xml:space="preserve">Netflix</t>
        </is>
      </c>
      <c r="B44" t="inlineStr">
        <is>
          <t xml:space="preserve">Subscriptions</t>
        </is>
      </c>
      <c r="C44" s="9">
        <v>21.31</v>
      </c>
      <c r="D44" t="inlineStr">
        <is>
          <t xml:space="preserve">Monthly, 23rd</t>
        </is>
      </c>
      <c r="E44" t="inlineStr">
        <is>
          <t xml:space="preserve">Fixed amount</t>
        </is>
      </c>
      <c r="F44" s="21" t="inlineStr">
        <is>
          <t xml:space="preserve">2026-09-23</t>
        </is>
      </c>
      <c r="G44" s="20">
        <v>12</v>
      </c>
      <c r="H44" s="10">
        <v>21.31</v>
      </c>
      <c r="I44" s="9">
        <v>255.72</v>
      </c>
      <c r="J44" s="11"/>
      <c r="K44" s="20">
        <v>5</v>
      </c>
      <c r="L44" s="21" t="inlineStr">
        <is>
          <t xml:space="preserve">yes</t>
        </is>
      </c>
      <c r="M44" s="21"/>
      <c r="N44" s="21"/>
      <c r="O44" s="21" t="inlineStr">
        <is>
          <t xml:space="preserve">yes</t>
        </is>
      </c>
      <c r="P44" s="21" t="inlineStr">
        <is>
          <t xml:space="preserve">high</t>
        </is>
      </c>
      <c r="Q44"/>
      <c r="R44" s="7"/>
    </row>
    <row r="45">
      <c r="A45" s="15" t="inlineStr">
        <is>
          <t xml:space="preserve">TOTAL</t>
        </is>
      </c>
      <c r="B45" s="15"/>
      <c r="C45" s="15"/>
      <c r="D45" s="15"/>
      <c r="E45" s="15"/>
      <c r="F45" s="15"/>
      <c r="G45" s="22">
        <f>SUM(G4:G44)</f>
        <v>467</v>
      </c>
      <c r="H45" s="16">
        <f>SUM(H4:H44)</f>
        <v>11448.69</v>
      </c>
      <c r="I45" s="16">
        <f>SUM(I4:I44)</f>
        <v>137384.26</v>
      </c>
      <c r="J45" s="16">
        <f>SUM(J4:J44)</f>
        <v>9510.2</v>
      </c>
    </row>
  </sheetData>
  <autoFilter ref="A3:R44"/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5"/>
  <sheetViews>
    <sheetView workbookViewId="0" showGridLines="0">
      <pane xSplit="2" ySplit="3" topLeftCell="C4" activePane="bottomRight" state="frozen"/>
    </sheetView>
  </sheetViews>
  <sheetFormatPr defaultRowHeight="15"/>
  <cols>
    <col min="1" max="1" width="30.00" customWidth="1"/>
    <col min="2" max="2" width="26.00" customWidth="1"/>
    <col min="3" max="3" width="11.00" customWidth="1"/>
    <col min="4" max="4" width="11.00" customWidth="1"/>
    <col min="5" max="5" width="11.00" customWidth="1"/>
    <col min="6" max="6" width="11.00" customWidth="1"/>
    <col min="7" max="7" width="11.00" customWidth="1"/>
    <col min="8" max="8" width="11.00" customWidth="1"/>
    <col min="9" max="9" width="11.00" customWidth="1"/>
    <col min="10" max="10" width="11.00" customWidth="1"/>
    <col min="11" max="11" width="11.00" customWidth="1"/>
    <col min="12" max="12" width="11.00" customWidth="1"/>
    <col min="13" max="13" width="11.00" customWidth="1"/>
    <col min="14" max="14" width="11.00" customWidth="1"/>
    <col min="15" max="15" width="13.00" customWidth="1"/>
  </cols>
  <sheetData>
    <row r="1" ht="24.00" customHeight="1">
      <c r="A1" s="1" t="inlineStr">
        <is>
          <t xml:space="preserve">Every bill, month by month</t>
        </is>
      </c>
    </row>
    <row r="2">
      <c r="A2" s="2" t="inlineStr">
        <is>
          <t xml:space="preserve">September 2026 to August 2027. A blank means the bill does not land in that month.</t>
        </is>
      </c>
    </row>
    <row r="3" ht="28.00" customHeight="1">
      <c r="A3" s="4" t="inlineStr">
        <is>
          <t xml:space="preserve">Bill</t>
        </is>
      </c>
      <c r="B3" s="4" t="inlineStr">
        <is>
          <t xml:space="preserve">Category</t>
        </is>
      </c>
      <c r="C3" s="3" t="inlineStr">
        <is>
          <t xml:space="preserve">Sep 2026</t>
        </is>
      </c>
      <c r="D3" s="3" t="inlineStr">
        <is>
          <t xml:space="preserve">Oct 2026</t>
        </is>
      </c>
      <c r="E3" s="3" t="inlineStr">
        <is>
          <t xml:space="preserve">Nov 2026</t>
        </is>
      </c>
      <c r="F3" s="3" t="inlineStr">
        <is>
          <t xml:space="preserve">Dec 2026</t>
        </is>
      </c>
      <c r="G3" s="3" t="inlineStr">
        <is>
          <t xml:space="preserve">Jan 2027</t>
        </is>
      </c>
      <c r="H3" s="3" t="inlineStr">
        <is>
          <t xml:space="preserve">Feb 2027</t>
        </is>
      </c>
      <c r="I3" s="3" t="inlineStr">
        <is>
          <t xml:space="preserve">Mar 2027</t>
        </is>
      </c>
      <c r="J3" s="3" t="inlineStr">
        <is>
          <t xml:space="preserve">Apr 2027</t>
        </is>
      </c>
      <c r="K3" s="3" t="inlineStr">
        <is>
          <t xml:space="preserve">May 2027</t>
        </is>
      </c>
      <c r="L3" s="3" t="inlineStr">
        <is>
          <t xml:space="preserve">Jun 2027</t>
        </is>
      </c>
      <c r="M3" s="3" t="inlineStr">
        <is>
          <t xml:space="preserve">Jul 2027</t>
        </is>
      </c>
      <c r="N3" s="3" t="inlineStr">
        <is>
          <t xml:space="preserve">Aug 2027</t>
        </is>
      </c>
      <c r="O3" s="3" t="inlineStr">
        <is>
          <t xml:space="preserve">Year</t>
        </is>
      </c>
    </row>
    <row r="4">
      <c r="A4" t="inlineStr">
        <is>
          <t xml:space="preserve">Mortgage</t>
        </is>
      </c>
      <c r="B4" t="inlineStr">
        <is>
          <t xml:space="preserve">Housing</t>
        </is>
      </c>
      <c r="C4" s="12">
        <v>3603.24</v>
      </c>
      <c r="D4" s="12">
        <v>3603.24</v>
      </c>
      <c r="E4" s="12">
        <v>5404.86</v>
      </c>
      <c r="F4" s="12">
        <v>3603.24</v>
      </c>
      <c r="G4" s="12">
        <v>3603.24</v>
      </c>
      <c r="H4" s="12">
        <v>3603.24</v>
      </c>
      <c r="I4" s="12">
        <v>3603.24</v>
      </c>
      <c r="J4" s="12">
        <v>3603.24</v>
      </c>
      <c r="K4" s="12">
        <v>5404.86</v>
      </c>
      <c r="L4" s="12">
        <v>3603.24</v>
      </c>
      <c r="M4" s="12">
        <v>3603.24</v>
      </c>
      <c r="N4" s="12">
        <v>3603.24</v>
      </c>
      <c r="O4" s="10">
        <f>SUM(C4:N4)</f>
        <v>46842.12</v>
      </c>
    </row>
    <row r="5">
      <c r="A5" t="inlineStr">
        <is>
          <t xml:space="preserve">Culligan</t>
        </is>
      </c>
      <c r="B5" t="inlineStr">
        <is>
          <t xml:space="preserve">Utilities</t>
        </is>
      </c>
      <c r="C5" s="12">
        <v>307.70</v>
      </c>
      <c r="D5" s="12">
        <v>307.70</v>
      </c>
      <c r="E5" s="12">
        <v>307.70</v>
      </c>
      <c r="F5" s="12">
        <v>307.70</v>
      </c>
      <c r="G5" s="12">
        <v>307.70</v>
      </c>
      <c r="H5" s="12">
        <v>307.70</v>
      </c>
      <c r="I5" s="12">
        <v>307.70</v>
      </c>
      <c r="J5" s="12">
        <v>307.70</v>
      </c>
      <c r="K5" s="12">
        <v>307.70</v>
      </c>
      <c r="L5" s="12">
        <v>307.70</v>
      </c>
      <c r="M5" s="12">
        <v>307.70</v>
      </c>
      <c r="N5" s="12">
        <v>307.70</v>
      </c>
      <c r="O5" s="10">
        <f>SUM(C5:N5)</f>
        <v>3692.4</v>
      </c>
    </row>
    <row r="6">
      <c r="A6" t="inlineStr">
        <is>
          <t xml:space="preserve">Town of Clinton water</t>
        </is>
      </c>
      <c r="B6" t="inlineStr">
        <is>
          <t xml:space="preserve">Utilities</t>
        </is>
      </c>
      <c r="C6" s="12">
        <v>873.53</v>
      </c>
      <c r="D6" s="12"/>
      <c r="E6" s="12"/>
      <c r="F6" s="12">
        <v>873.53</v>
      </c>
      <c r="G6" s="12"/>
      <c r="H6" s="12"/>
      <c r="I6" s="12">
        <v>873.53</v>
      </c>
      <c r="J6" s="12"/>
      <c r="K6" s="12"/>
      <c r="L6" s="12">
        <v>873.53</v>
      </c>
      <c r="M6" s="12"/>
      <c r="N6" s="12"/>
      <c r="O6" s="10">
        <f>SUM(C6:N6)</f>
        <v>3494.12</v>
      </c>
    </row>
    <row r="7">
      <c r="A7" t="inlineStr">
        <is>
          <t xml:space="preserve">JCP&amp;L / FirstEnergy</t>
        </is>
      </c>
      <c r="B7" t="inlineStr">
        <is>
          <t xml:space="preserve">Utilities</t>
        </is>
      </c>
      <c r="C7" s="12">
        <v>374.22</v>
      </c>
      <c r="D7" s="12">
        <v>295.83</v>
      </c>
      <c r="E7" s="12">
        <v>142.21</v>
      </c>
      <c r="F7" s="12">
        <v>161.10</v>
      </c>
      <c r="G7" s="12">
        <v>179.56</v>
      </c>
      <c r="H7" s="12">
        <v>178.28</v>
      </c>
      <c r="I7" s="12">
        <v>197.50</v>
      </c>
      <c r="J7" s="12">
        <v>160.76</v>
      </c>
      <c r="K7" s="12">
        <v>145.85</v>
      </c>
      <c r="L7" s="12">
        <v>154.11</v>
      </c>
      <c r="M7" s="12">
        <v>283.50</v>
      </c>
      <c r="N7" s="12">
        <v>418.98</v>
      </c>
      <c r="O7" s="10">
        <f>SUM(C7:N7)</f>
        <v>2691.9</v>
      </c>
    </row>
    <row r="8">
      <c r="A8" t="inlineStr">
        <is>
          <t xml:space="preserve">Elizabethtown Gas</t>
        </is>
      </c>
      <c r="B8" t="inlineStr">
        <is>
          <t xml:space="preserve">Utilities</t>
        </is>
      </c>
      <c r="C8" s="12">
        <v>60.01</v>
      </c>
      <c r="D8" s="12">
        <v>69.16</v>
      </c>
      <c r="E8" s="12">
        <v>84.35</v>
      </c>
      <c r="F8" s="12">
        <v>186.00</v>
      </c>
      <c r="G8" s="12">
        <v>370.38</v>
      </c>
      <c r="H8" s="12">
        <v>440.56</v>
      </c>
      <c r="I8" s="12">
        <v>550.83</v>
      </c>
      <c r="J8" s="12">
        <v>329.14</v>
      </c>
      <c r="K8" s="12">
        <v>220.95</v>
      </c>
      <c r="L8" s="12">
        <v>140.26</v>
      </c>
      <c r="M8" s="12">
        <v>101.23</v>
      </c>
      <c r="N8" s="12">
        <v>54.03</v>
      </c>
      <c r="O8" s="10">
        <f>SUM(C8:N8)</f>
        <v>2606.9</v>
      </c>
    </row>
    <row r="9">
      <c r="A9" t="inlineStr">
        <is>
          <t xml:space="preserve">Comcast</t>
        </is>
      </c>
      <c r="B9" t="inlineStr">
        <is>
          <t xml:space="preserve">Utilities</t>
        </is>
      </c>
      <c r="C9" s="12">
        <v>138.93</v>
      </c>
      <c r="D9" s="12">
        <v>138.93</v>
      </c>
      <c r="E9" s="12">
        <v>138.93</v>
      </c>
      <c r="F9" s="12">
        <v>138.93</v>
      </c>
      <c r="G9" s="12">
        <v>138.93</v>
      </c>
      <c r="H9" s="12">
        <v>138.93</v>
      </c>
      <c r="I9" s="12">
        <v>138.93</v>
      </c>
      <c r="J9" s="12">
        <v>138.93</v>
      </c>
      <c r="K9" s="12">
        <v>138.93</v>
      </c>
      <c r="L9" s="12">
        <v>138.93</v>
      </c>
      <c r="M9" s="12">
        <v>138.93</v>
      </c>
      <c r="N9" s="12">
        <v>138.93</v>
      </c>
      <c r="O9" s="10">
        <f>SUM(C9:N9)</f>
        <v>1667.16</v>
      </c>
    </row>
    <row r="10">
      <c r="A10" t="inlineStr">
        <is>
          <t xml:space="preserve">Xfinity Mobile</t>
        </is>
      </c>
      <c r="B10" t="inlineStr">
        <is>
          <t xml:space="preserve">Utilities</t>
        </is>
      </c>
      <c r="C10" s="12">
        <v>88.82</v>
      </c>
      <c r="D10" s="12">
        <v>88.82</v>
      </c>
      <c r="E10" s="12">
        <v>88.82</v>
      </c>
      <c r="F10" s="12">
        <v>88.82</v>
      </c>
      <c r="G10" s="12">
        <v>88.82</v>
      </c>
      <c r="H10" s="12">
        <v>88.82</v>
      </c>
      <c r="I10" s="12">
        <v>88.82</v>
      </c>
      <c r="J10" s="12">
        <v>88.82</v>
      </c>
      <c r="K10" s="12">
        <v>88.82</v>
      </c>
      <c r="L10" s="12">
        <v>88.82</v>
      </c>
      <c r="M10" s="12">
        <v>88.82</v>
      </c>
      <c r="N10" s="12">
        <v>88.82</v>
      </c>
      <c r="O10" s="10">
        <f>SUM(C10:N10)</f>
        <v>1065.84</v>
      </c>
    </row>
    <row r="11">
      <c r="A11" t="inlineStr">
        <is>
          <t xml:space="preserve">JCP&amp;L past due (deferred 3 Sep)</t>
        </is>
      </c>
      <c r="B11" t="inlineStr">
        <is>
          <t xml:space="preserve">Utilities</t>
        </is>
      </c>
      <c r="C11" s="12">
        <v>374.22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0">
        <f>SUM(C11:N11)</f>
        <v>374.22</v>
      </c>
    </row>
    <row r="12">
      <c r="A12" t="inlineStr">
        <is>
          <t xml:space="preserve">Sewer</t>
        </is>
      </c>
      <c r="B12" t="inlineStr">
        <is>
          <t xml:space="preserve">Utilities</t>
        </is>
      </c>
      <c r="C12" s="12">
        <v>304.50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0">
        <f>SUM(C12:N12)</f>
        <v>304.5</v>
      </c>
    </row>
    <row r="13">
      <c r="A13" t="inlineStr">
        <is>
          <t xml:space="preserve">Sewer past due (deferred 1 Sep)</t>
        </is>
      </c>
      <c r="B13" t="inlineStr">
        <is>
          <t xml:space="preserve">Utilities</t>
        </is>
      </c>
      <c r="C13" s="12">
        <v>304.50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0">
        <f>SUM(C13:N13)</f>
        <v>304.5</v>
      </c>
    </row>
    <row r="14">
      <c r="A14" t="inlineStr">
        <is>
          <t xml:space="preserve">T-Mobile Lia</t>
        </is>
      </c>
      <c r="B14" t="inlineStr">
        <is>
          <t xml:space="preserve">Utilities</t>
        </is>
      </c>
      <c r="C14" s="12">
        <v>20.75</v>
      </c>
      <c r="D14" s="12">
        <v>20.75</v>
      </c>
      <c r="E14" s="12">
        <v>20.75</v>
      </c>
      <c r="F14" s="12">
        <v>20.75</v>
      </c>
      <c r="G14" s="12">
        <v>20.75</v>
      </c>
      <c r="H14" s="12">
        <v>20.75</v>
      </c>
      <c r="I14" s="12">
        <v>20.75</v>
      </c>
      <c r="J14" s="12">
        <v>20.75</v>
      </c>
      <c r="K14" s="12">
        <v>20.75</v>
      </c>
      <c r="L14" s="12">
        <v>20.75</v>
      </c>
      <c r="M14" s="12">
        <v>20.75</v>
      </c>
      <c r="N14" s="12">
        <v>20.75</v>
      </c>
      <c r="O14" s="10">
        <f>SUM(C14:N14)</f>
        <v>249.0</v>
      </c>
    </row>
    <row r="15">
      <c r="A15" t="inlineStr">
        <is>
          <t xml:space="preserve">Republic trash Q4</t>
        </is>
      </c>
      <c r="B15" t="inlineStr">
        <is>
          <t xml:space="preserve">Utilities</t>
        </is>
      </c>
      <c r="C15" s="12"/>
      <c r="D15" s="12">
        <v>177.30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0">
        <f>SUM(C15:N15)</f>
        <v>177.3</v>
      </c>
    </row>
    <row r="16">
      <c r="A16" t="inlineStr">
        <is>
          <t xml:space="preserve">Republic trash Q1</t>
        </is>
      </c>
      <c r="B16" t="inlineStr">
        <is>
          <t xml:space="preserve">Utilities</t>
        </is>
      </c>
      <c r="C16" s="12"/>
      <c r="D16" s="12"/>
      <c r="E16" s="12"/>
      <c r="F16" s="12"/>
      <c r="G16" s="12">
        <v>177.30</v>
      </c>
      <c r="H16" s="12"/>
      <c r="I16" s="12"/>
      <c r="J16" s="12"/>
      <c r="K16" s="12"/>
      <c r="L16" s="12"/>
      <c r="M16" s="12"/>
      <c r="N16" s="12"/>
      <c r="O16" s="10">
        <f>SUM(C16:N16)</f>
        <v>177.3</v>
      </c>
    </row>
    <row r="17">
      <c r="A17" t="inlineStr">
        <is>
          <t xml:space="preserve">Hanover Auto</t>
        </is>
      </c>
      <c r="B17" t="inlineStr">
        <is>
          <t xml:space="preserve">Insurance</t>
        </is>
      </c>
      <c r="C17" s="12">
        <v>513.27</v>
      </c>
      <c r="D17" s="12">
        <v>513.27</v>
      </c>
      <c r="E17" s="12">
        <v>513.27</v>
      </c>
      <c r="F17" s="12">
        <v>513.27</v>
      </c>
      <c r="G17" s="12">
        <v>513.27</v>
      </c>
      <c r="H17" s="12">
        <v>513.27</v>
      </c>
      <c r="I17" s="12">
        <v>513.27</v>
      </c>
      <c r="J17" s="12">
        <v>513.27</v>
      </c>
      <c r="K17" s="12">
        <v>513.27</v>
      </c>
      <c r="L17" s="12">
        <v>513.27</v>
      </c>
      <c r="M17" s="12">
        <v>513.27</v>
      </c>
      <c r="N17" s="12">
        <v>513.27</v>
      </c>
      <c r="O17" s="10">
        <f>SUM(C17:N17)</f>
        <v>6159.24</v>
      </c>
    </row>
    <row r="18">
      <c r="A18" t="inlineStr">
        <is>
          <t xml:space="preserve">Kia</t>
        </is>
      </c>
      <c r="B18" t="inlineStr">
        <is>
          <t xml:space="preserve">Transportation</t>
        </is>
      </c>
      <c r="C18" s="12">
        <v>742.65</v>
      </c>
      <c r="D18" s="12">
        <v>742.65</v>
      </c>
      <c r="E18" s="12">
        <v>742.65</v>
      </c>
      <c r="F18" s="12">
        <v>742.65</v>
      </c>
      <c r="G18" s="12">
        <v>742.65</v>
      </c>
      <c r="H18" s="12">
        <v>742.65</v>
      </c>
      <c r="I18" s="12">
        <v>742.65</v>
      </c>
      <c r="J18" s="12">
        <v>742.65</v>
      </c>
      <c r="K18" s="12">
        <v>742.65</v>
      </c>
      <c r="L18" s="12">
        <v>742.65</v>
      </c>
      <c r="M18" s="12">
        <v>742.65</v>
      </c>
      <c r="N18" s="12">
        <v>742.65</v>
      </c>
      <c r="O18" s="10">
        <f>SUM(C18:N18)</f>
        <v>8911.8</v>
      </c>
    </row>
    <row r="19">
      <c r="A19" t="inlineStr">
        <is>
          <t xml:space="preserve">Fuel</t>
        </is>
      </c>
      <c r="B19" t="inlineStr">
        <is>
          <t xml:space="preserve">Transportation</t>
        </is>
      </c>
      <c r="C19" s="12">
        <v>363.08</v>
      </c>
      <c r="D19" s="12">
        <v>363.08</v>
      </c>
      <c r="E19" s="12">
        <v>453.85</v>
      </c>
      <c r="F19" s="12">
        <v>363.08</v>
      </c>
      <c r="G19" s="12">
        <v>453.85</v>
      </c>
      <c r="H19" s="12">
        <v>363.08</v>
      </c>
      <c r="I19" s="12">
        <v>363.08</v>
      </c>
      <c r="J19" s="12">
        <v>363.08</v>
      </c>
      <c r="K19" s="12">
        <v>453.85</v>
      </c>
      <c r="L19" s="12">
        <v>363.08</v>
      </c>
      <c r="M19" s="12">
        <v>363.08</v>
      </c>
      <c r="N19" s="12">
        <v>453.85</v>
      </c>
      <c r="O19" s="10">
        <f>SUM(C19:N19)</f>
        <v>4720.04</v>
      </c>
    </row>
    <row r="20">
      <c r="A20" t="inlineStr">
        <is>
          <t xml:space="preserve">CCU car loan</t>
        </is>
      </c>
      <c r="B20" t="inlineStr">
        <is>
          <t xml:space="preserve">Transportation</t>
        </is>
      </c>
      <c r="C20" s="12">
        <v>306.90</v>
      </c>
      <c r="D20" s="12">
        <v>306.90</v>
      </c>
      <c r="E20" s="12">
        <v>306.90</v>
      </c>
      <c r="F20" s="12">
        <v>306.90</v>
      </c>
      <c r="G20" s="12">
        <v>306.90</v>
      </c>
      <c r="H20" s="12">
        <v>306.90</v>
      </c>
      <c r="I20" s="12">
        <v>306.90</v>
      </c>
      <c r="J20" s="12">
        <v>306.90</v>
      </c>
      <c r="K20" s="12">
        <v>306.90</v>
      </c>
      <c r="L20" s="12">
        <v>306.90</v>
      </c>
      <c r="M20" s="12">
        <v>306.90</v>
      </c>
      <c r="N20" s="12">
        <v>306.90</v>
      </c>
      <c r="O20" s="10">
        <f>SUM(C20:N20)</f>
        <v>3682.8</v>
      </c>
    </row>
    <row r="21">
      <c r="A21" t="inlineStr">
        <is>
          <t xml:space="preserve">Groceries</t>
        </is>
      </c>
      <c r="B21" t="inlineStr">
        <is>
          <t xml:space="preserve">Groceries</t>
        </is>
      </c>
      <c r="C21" s="12">
        <v>1276.36</v>
      </c>
      <c r="D21" s="12">
        <v>1276.36</v>
      </c>
      <c r="E21" s="12">
        <v>1595.45</v>
      </c>
      <c r="F21" s="12">
        <v>1276.36</v>
      </c>
      <c r="G21" s="12">
        <v>1595.45</v>
      </c>
      <c r="H21" s="12">
        <v>1276.36</v>
      </c>
      <c r="I21" s="12">
        <v>1276.36</v>
      </c>
      <c r="J21" s="12">
        <v>1276.36</v>
      </c>
      <c r="K21" s="12">
        <v>1595.45</v>
      </c>
      <c r="L21" s="12">
        <v>1276.36</v>
      </c>
      <c r="M21" s="12">
        <v>1276.36</v>
      </c>
      <c r="N21" s="12">
        <v>1595.45</v>
      </c>
      <c r="O21" s="10">
        <f>SUM(C21:N21)</f>
        <v>16592.68</v>
      </c>
    </row>
    <row r="22">
      <c r="A22" t="inlineStr">
        <is>
          <t xml:space="preserve">Loew &amp; Patel braces</t>
        </is>
      </c>
      <c r="B22" t="inlineStr">
        <is>
          <t xml:space="preserve">Medical &amp; dental</t>
        </is>
      </c>
      <c r="C22" s="12">
        <v>400.00</v>
      </c>
      <c r="D22" s="12">
        <v>400.00</v>
      </c>
      <c r="E22" s="12">
        <v>400.00</v>
      </c>
      <c r="F22" s="12">
        <v>400.00</v>
      </c>
      <c r="G22" s="12">
        <v>400.00</v>
      </c>
      <c r="H22" s="12">
        <v>400.00</v>
      </c>
      <c r="I22" s="12">
        <v>400.00</v>
      </c>
      <c r="J22" s="12">
        <v>400.00</v>
      </c>
      <c r="K22" s="12">
        <v>400.00</v>
      </c>
      <c r="L22" s="12">
        <v>400.00</v>
      </c>
      <c r="M22" s="12">
        <v>400.00</v>
      </c>
      <c r="N22" s="12">
        <v>400.00</v>
      </c>
      <c r="O22" s="10">
        <f>SUM(C22:N22)</f>
        <v>4800.0</v>
      </c>
    </row>
    <row r="23">
      <c r="A23" t="inlineStr">
        <is>
          <t xml:space="preserve">NJ Total Select 1of4</t>
        </is>
      </c>
      <c r="B23" t="inlineStr">
        <is>
          <t xml:space="preserve">Kids &amp; activities</t>
        </is>
      </c>
      <c r="C23" s="12"/>
      <c r="D23" s="12">
        <v>517.50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0">
        <f>SUM(C23:N23)</f>
        <v>517.5</v>
      </c>
    </row>
    <row r="24">
      <c r="A24" t="inlineStr">
        <is>
          <t xml:space="preserve">NJ Total Select 2of4</t>
        </is>
      </c>
      <c r="B24" t="inlineStr">
        <is>
          <t xml:space="preserve">Kids &amp; activities</t>
        </is>
      </c>
      <c r="C24" s="12"/>
      <c r="D24" s="12"/>
      <c r="E24" s="12"/>
      <c r="F24" s="12"/>
      <c r="G24" s="12">
        <v>517.50</v>
      </c>
      <c r="H24" s="12"/>
      <c r="I24" s="12"/>
      <c r="J24" s="12"/>
      <c r="K24" s="12"/>
      <c r="L24" s="12"/>
      <c r="M24" s="12"/>
      <c r="N24" s="12"/>
      <c r="O24" s="10">
        <f>SUM(C24:N24)</f>
        <v>517.5</v>
      </c>
    </row>
    <row r="25">
      <c r="A25" t="inlineStr">
        <is>
          <t xml:space="preserve">NJ Total Select 3of4</t>
        </is>
      </c>
      <c r="B25" t="inlineStr">
        <is>
          <t xml:space="preserve">Kids &amp; activities</t>
        </is>
      </c>
      <c r="C25" s="12"/>
      <c r="D25" s="12"/>
      <c r="E25" s="12"/>
      <c r="F25" s="12"/>
      <c r="G25" s="12"/>
      <c r="H25" s="12"/>
      <c r="I25" s="12">
        <v>517.50</v>
      </c>
      <c r="J25" s="12"/>
      <c r="K25" s="12"/>
      <c r="L25" s="12"/>
      <c r="M25" s="12"/>
      <c r="N25" s="12"/>
      <c r="O25" s="10">
        <f>SUM(C25:N25)</f>
        <v>517.5</v>
      </c>
    </row>
    <row r="26">
      <c r="A26" t="inlineStr">
        <is>
          <t xml:space="preserve">NJ Total Select 4of4</t>
        </is>
      </c>
      <c r="B26" t="inlineStr">
        <is>
          <t xml:space="preserve">Kids &amp; activities</t>
        </is>
      </c>
      <c r="C26" s="12"/>
      <c r="D26" s="12"/>
      <c r="E26" s="12"/>
      <c r="F26" s="12"/>
      <c r="G26" s="12"/>
      <c r="H26" s="12"/>
      <c r="I26" s="12"/>
      <c r="J26" s="12"/>
      <c r="K26" s="12">
        <v>517.50</v>
      </c>
      <c r="L26" s="12"/>
      <c r="M26" s="12"/>
      <c r="N26" s="12"/>
      <c r="O26" s="10">
        <f>SUM(C26:N26)</f>
        <v>517.5</v>
      </c>
    </row>
    <row r="27">
      <c r="A27" t="inlineStr">
        <is>
          <t xml:space="preserve">One Main loan</t>
        </is>
      </c>
      <c r="B27" t="inlineStr">
        <is>
          <t xml:space="preserve">Loans</t>
        </is>
      </c>
      <c r="C27" s="12">
        <v>388.24</v>
      </c>
      <c r="D27" s="12">
        <v>388.24</v>
      </c>
      <c r="E27" s="12">
        <v>388.24</v>
      </c>
      <c r="F27" s="12">
        <v>388.24</v>
      </c>
      <c r="G27" s="12">
        <v>388.24</v>
      </c>
      <c r="H27" s="12">
        <v>388.24</v>
      </c>
      <c r="I27" s="12">
        <v>388.24</v>
      </c>
      <c r="J27" s="12">
        <v>388.24</v>
      </c>
      <c r="K27" s="12">
        <v>388.24</v>
      </c>
      <c r="L27" s="12">
        <v>388.24</v>
      </c>
      <c r="M27" s="12">
        <v>388.24</v>
      </c>
      <c r="N27" s="12">
        <v>388.24</v>
      </c>
      <c r="O27" s="10">
        <f>SUM(C27:N27)</f>
        <v>4658.88</v>
      </c>
    </row>
    <row r="28">
      <c r="A28" t="inlineStr">
        <is>
          <t xml:space="preserve">Upstart past bills (from Sep)</t>
        </is>
      </c>
      <c r="B28" t="inlineStr">
        <is>
          <t xml:space="preserve">Loans</t>
        </is>
      </c>
      <c r="C28" s="12">
        <v>337.61</v>
      </c>
      <c r="D28" s="12">
        <v>337.61</v>
      </c>
      <c r="E28" s="12">
        <v>337.61</v>
      </c>
      <c r="F28" s="12">
        <v>337.61</v>
      </c>
      <c r="G28" s="12">
        <v>337.61</v>
      </c>
      <c r="H28" s="12">
        <v>337.61</v>
      </c>
      <c r="I28" s="12">
        <v>337.61</v>
      </c>
      <c r="J28" s="12">
        <v>337.61</v>
      </c>
      <c r="K28" s="12">
        <v>337.61</v>
      </c>
      <c r="L28" s="12">
        <v>337.61</v>
      </c>
      <c r="M28" s="12">
        <v>337.61</v>
      </c>
      <c r="N28" s="12">
        <v>337.61</v>
      </c>
      <c r="O28" s="10">
        <f>SUM(C28:N28)</f>
        <v>4051.32</v>
      </c>
    </row>
    <row r="29">
      <c r="A29" t="inlineStr">
        <is>
          <t xml:space="preserve">Upstart debt consol</t>
        </is>
      </c>
      <c r="B29" t="inlineStr">
        <is>
          <t xml:space="preserve">Loans</t>
        </is>
      </c>
      <c r="C29" s="12">
        <v>161.00</v>
      </c>
      <c r="D29" s="12">
        <v>161.00</v>
      </c>
      <c r="E29" s="12">
        <v>161.00</v>
      </c>
      <c r="F29" s="12">
        <v>161.00</v>
      </c>
      <c r="G29" s="12">
        <v>161.00</v>
      </c>
      <c r="H29" s="12">
        <v>161.00</v>
      </c>
      <c r="I29" s="12">
        <v>161.00</v>
      </c>
      <c r="J29" s="12">
        <v>161.00</v>
      </c>
      <c r="K29" s="12">
        <v>161.00</v>
      </c>
      <c r="L29" s="12">
        <v>161.00</v>
      </c>
      <c r="M29" s="12">
        <v>161.00</v>
      </c>
      <c r="N29" s="12">
        <v>161.00</v>
      </c>
      <c r="O29" s="10">
        <f>SUM(C29:N29)</f>
        <v>1932.0</v>
      </c>
    </row>
    <row r="30">
      <c r="A30" t="inlineStr">
        <is>
          <t xml:space="preserve">PNC</t>
        </is>
      </c>
      <c r="B30" t="inlineStr">
        <is>
          <t xml:space="preserve">Loans</t>
        </is>
      </c>
      <c r="C30" s="12">
        <v>150.00</v>
      </c>
      <c r="D30" s="12">
        <v>150.00</v>
      </c>
      <c r="E30" s="12">
        <v>150.00</v>
      </c>
      <c r="F30" s="12">
        <v>150.00</v>
      </c>
      <c r="G30" s="12">
        <v>150.00</v>
      </c>
      <c r="H30" s="12">
        <v>150.00</v>
      </c>
      <c r="I30" s="12">
        <v>150.00</v>
      </c>
      <c r="J30" s="12">
        <v>150.00</v>
      </c>
      <c r="K30" s="12">
        <v>150.00</v>
      </c>
      <c r="L30" s="12">
        <v>150.00</v>
      </c>
      <c r="M30" s="12">
        <v>150.00</v>
      </c>
      <c r="N30" s="12">
        <v>150.00</v>
      </c>
      <c r="O30" s="10">
        <f>SUM(C30:N30)</f>
        <v>1800.0</v>
      </c>
    </row>
    <row r="31">
      <c r="A31" t="inlineStr">
        <is>
          <t xml:space="preserve">Upgrade basement</t>
        </is>
      </c>
      <c r="B31" t="inlineStr">
        <is>
          <t xml:space="preserve">Loans</t>
        </is>
      </c>
      <c r="C31" s="12">
        <v>86.36</v>
      </c>
      <c r="D31" s="12">
        <v>86.36</v>
      </c>
      <c r="E31" s="12">
        <v>86.36</v>
      </c>
      <c r="F31" s="12">
        <v>86.36</v>
      </c>
      <c r="G31" s="12">
        <v>86.36</v>
      </c>
      <c r="H31" s="12">
        <v>86.36</v>
      </c>
      <c r="I31" s="12">
        <v>86.36</v>
      </c>
      <c r="J31" s="12">
        <v>86.36</v>
      </c>
      <c r="K31" s="12">
        <v>86.36</v>
      </c>
      <c r="L31" s="12">
        <v>86.36</v>
      </c>
      <c r="M31" s="12">
        <v>86.36</v>
      </c>
      <c r="N31" s="12">
        <v>86.36</v>
      </c>
      <c r="O31" s="10">
        <f>SUM(C31:N31)</f>
        <v>1036.32</v>
      </c>
    </row>
    <row r="32">
      <c r="A32" t="inlineStr">
        <is>
          <t xml:space="preserve">Affirm</t>
        </is>
      </c>
      <c r="B32" t="inlineStr">
        <is>
          <t xml:space="preserve">Loans</t>
        </is>
      </c>
      <c r="C32" s="12">
        <v>73.07</v>
      </c>
      <c r="D32" s="12">
        <v>73.07</v>
      </c>
      <c r="E32" s="12">
        <v>73.07</v>
      </c>
      <c r="F32" s="12">
        <v>73.07</v>
      </c>
      <c r="G32" s="12">
        <v>73.07</v>
      </c>
      <c r="H32" s="12">
        <v>73.07</v>
      </c>
      <c r="I32" s="12">
        <v>73.07</v>
      </c>
      <c r="J32" s="12">
        <v>73.07</v>
      </c>
      <c r="K32" s="12">
        <v>73.07</v>
      </c>
      <c r="L32" s="12">
        <v>73.07</v>
      </c>
      <c r="M32" s="12">
        <v>73.07</v>
      </c>
      <c r="N32" s="12">
        <v>73.07</v>
      </c>
      <c r="O32" s="10">
        <f>SUM(C32:N32)</f>
        <v>876.84</v>
      </c>
    </row>
    <row r="33">
      <c r="A33" t="inlineStr">
        <is>
          <t xml:space="preserve">Upstart past bills</t>
        </is>
      </c>
      <c r="B33" t="inlineStr">
        <is>
          <t xml:space="preserve">Loans</t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0">
        <f>SUM(C33:N33)</f>
        <v>0.0</v>
      </c>
    </row>
    <row r="34">
      <c r="A34" t="inlineStr">
        <is>
          <t xml:space="preserve">Capital One CC</t>
        </is>
      </c>
      <c r="B34" t="inlineStr">
        <is>
          <t xml:space="preserve">Credit cards &amp; store accounts</t>
        </is>
      </c>
      <c r="C34" s="12">
        <v>163.00</v>
      </c>
      <c r="D34" s="12">
        <v>163.00</v>
      </c>
      <c r="E34" s="12">
        <v>163.00</v>
      </c>
      <c r="F34" s="12">
        <v>163.00</v>
      </c>
      <c r="G34" s="12">
        <v>163.00</v>
      </c>
      <c r="H34" s="12">
        <v>163.00</v>
      </c>
      <c r="I34" s="12">
        <v>163.00</v>
      </c>
      <c r="J34" s="12">
        <v>163.00</v>
      </c>
      <c r="K34" s="12">
        <v>163.00</v>
      </c>
      <c r="L34" s="12">
        <v>163.00</v>
      </c>
      <c r="M34" s="12">
        <v>163.00</v>
      </c>
      <c r="N34" s="12">
        <v>163.00</v>
      </c>
      <c r="O34" s="10">
        <f>SUM(C34:N34)</f>
        <v>1956.0</v>
      </c>
    </row>
    <row r="35">
      <c r="A35" t="inlineStr">
        <is>
          <t xml:space="preserve">Chase CC Amazon</t>
        </is>
      </c>
      <c r="B35" t="inlineStr">
        <is>
          <t xml:space="preserve">Credit cards &amp; store accounts</t>
        </is>
      </c>
      <c r="C35" s="12">
        <v>136.00</v>
      </c>
      <c r="D35" s="12">
        <v>136.00</v>
      </c>
      <c r="E35" s="12">
        <v>136.00</v>
      </c>
      <c r="F35" s="12">
        <v>136.00</v>
      </c>
      <c r="G35" s="12">
        <v>136.00</v>
      </c>
      <c r="H35" s="12">
        <v>136.00</v>
      </c>
      <c r="I35" s="12">
        <v>136.00</v>
      </c>
      <c r="J35" s="12">
        <v>136.00</v>
      </c>
      <c r="K35" s="12">
        <v>136.00</v>
      </c>
      <c r="L35" s="12">
        <v>136.00</v>
      </c>
      <c r="M35" s="12">
        <v>136.00</v>
      </c>
      <c r="N35" s="12">
        <v>136.00</v>
      </c>
      <c r="O35" s="10">
        <f>SUM(C35:N35)</f>
        <v>1632.0</v>
      </c>
    </row>
    <row r="36">
      <c r="A36" t="inlineStr">
        <is>
          <t xml:space="preserve">Lowes</t>
        </is>
      </c>
      <c r="B36" t="inlineStr">
        <is>
          <t xml:space="preserve">Credit cards &amp; store accounts</t>
        </is>
      </c>
      <c r="C36" s="12">
        <v>126.00</v>
      </c>
      <c r="D36" s="12">
        <v>126.00</v>
      </c>
      <c r="E36" s="12">
        <v>126.00</v>
      </c>
      <c r="F36" s="12">
        <v>126.00</v>
      </c>
      <c r="G36" s="12">
        <v>126.00</v>
      </c>
      <c r="H36" s="12">
        <v>126.00</v>
      </c>
      <c r="I36" s="12">
        <v>126.00</v>
      </c>
      <c r="J36" s="12">
        <v>126.00</v>
      </c>
      <c r="K36" s="12">
        <v>126.00</v>
      </c>
      <c r="L36" s="12">
        <v>126.00</v>
      </c>
      <c r="M36" s="12">
        <v>126.00</v>
      </c>
      <c r="N36" s="12">
        <v>126.00</v>
      </c>
      <c r="O36" s="10">
        <f>SUM(C36:N36)</f>
        <v>1512.0</v>
      </c>
    </row>
    <row r="37">
      <c r="A37" t="inlineStr">
        <is>
          <t xml:space="preserve">Home Depot</t>
        </is>
      </c>
      <c r="B37" t="inlineStr">
        <is>
          <t xml:space="preserve">Credit cards &amp; store accounts</t>
        </is>
      </c>
      <c r="C37" s="12">
        <v>100.00</v>
      </c>
      <c r="D37" s="12">
        <v>100.00</v>
      </c>
      <c r="E37" s="12">
        <v>100.00</v>
      </c>
      <c r="F37" s="12">
        <v>100.00</v>
      </c>
      <c r="G37" s="12">
        <v>100.00</v>
      </c>
      <c r="H37" s="12">
        <v>100.00</v>
      </c>
      <c r="I37" s="12">
        <v>100.00</v>
      </c>
      <c r="J37" s="12">
        <v>100.00</v>
      </c>
      <c r="K37" s="12">
        <v>100.00</v>
      </c>
      <c r="L37" s="12">
        <v>100.00</v>
      </c>
      <c r="M37" s="12">
        <v>100.00</v>
      </c>
      <c r="N37" s="12">
        <v>100.00</v>
      </c>
      <c r="O37" s="10">
        <f>SUM(C37:N37)</f>
        <v>1200.0</v>
      </c>
    </row>
    <row r="38">
      <c r="A38" t="inlineStr">
        <is>
          <t xml:space="preserve">Chase CC United</t>
        </is>
      </c>
      <c r="B38" t="inlineStr">
        <is>
          <t xml:space="preserve">Credit cards &amp; store accounts</t>
        </is>
      </c>
      <c r="C38" s="12">
        <v>88.00</v>
      </c>
      <c r="D38" s="12">
        <v>88.00</v>
      </c>
      <c r="E38" s="12">
        <v>88.00</v>
      </c>
      <c r="F38" s="12">
        <v>88.00</v>
      </c>
      <c r="G38" s="12">
        <v>88.00</v>
      </c>
      <c r="H38" s="12">
        <v>88.00</v>
      </c>
      <c r="I38" s="12">
        <v>88.00</v>
      </c>
      <c r="J38" s="12">
        <v>88.00</v>
      </c>
      <c r="K38" s="12">
        <v>88.00</v>
      </c>
      <c r="L38" s="12">
        <v>88.00</v>
      </c>
      <c r="M38" s="12">
        <v>88.00</v>
      </c>
      <c r="N38" s="12">
        <v>88.00</v>
      </c>
      <c r="O38" s="10">
        <f>SUM(C38:N38)</f>
        <v>1056.0</v>
      </c>
    </row>
    <row r="39">
      <c r="A39" t="inlineStr">
        <is>
          <t xml:space="preserve">Barclay Old Navy</t>
        </is>
      </c>
      <c r="B39" t="inlineStr">
        <is>
          <t xml:space="preserve">Credit cards &amp; store accounts</t>
        </is>
      </c>
      <c r="C39" s="12">
        <v>84.78</v>
      </c>
      <c r="D39" s="12">
        <v>84.78</v>
      </c>
      <c r="E39" s="12">
        <v>84.78</v>
      </c>
      <c r="F39" s="12">
        <v>84.78</v>
      </c>
      <c r="G39" s="12">
        <v>84.78</v>
      </c>
      <c r="H39" s="12">
        <v>84.78</v>
      </c>
      <c r="I39" s="12">
        <v>84.78</v>
      </c>
      <c r="J39" s="12">
        <v>84.78</v>
      </c>
      <c r="K39" s="12">
        <v>84.78</v>
      </c>
      <c r="L39" s="12">
        <v>84.78</v>
      </c>
      <c r="M39" s="12">
        <v>84.78</v>
      </c>
      <c r="N39" s="12">
        <v>84.78</v>
      </c>
      <c r="O39" s="10">
        <f>SUM(C39:N39)</f>
        <v>1017.36</v>
      </c>
    </row>
    <row r="40">
      <c r="A40" t="inlineStr">
        <is>
          <t xml:space="preserve">Comenity</t>
        </is>
      </c>
      <c r="B40" t="inlineStr">
        <is>
          <t xml:space="preserve">Credit cards &amp; store accounts</t>
        </is>
      </c>
      <c r="C40" s="12">
        <v>65.00</v>
      </c>
      <c r="D40" s="12">
        <v>65.00</v>
      </c>
      <c r="E40" s="12">
        <v>65.00</v>
      </c>
      <c r="F40" s="12">
        <v>65.00</v>
      </c>
      <c r="G40" s="12">
        <v>65.00</v>
      </c>
      <c r="H40" s="12">
        <v>65.00</v>
      </c>
      <c r="I40" s="12">
        <v>65.00</v>
      </c>
      <c r="J40" s="12">
        <v>65.00</v>
      </c>
      <c r="K40" s="12">
        <v>65.00</v>
      </c>
      <c r="L40" s="12">
        <v>65.00</v>
      </c>
      <c r="M40" s="12">
        <v>65.00</v>
      </c>
      <c r="N40" s="12">
        <v>65.00</v>
      </c>
      <c r="O40" s="10">
        <f>SUM(C40:N40)</f>
        <v>780.0</v>
      </c>
    </row>
    <row r="41">
      <c r="A41" t="inlineStr">
        <is>
          <t xml:space="preserve">TJX Rewards</t>
        </is>
      </c>
      <c r="B41" t="inlineStr">
        <is>
          <t xml:space="preserve">Credit cards &amp; store accounts</t>
        </is>
      </c>
      <c r="C41" s="12">
        <v>36.00</v>
      </c>
      <c r="D41" s="12">
        <v>36.00</v>
      </c>
      <c r="E41" s="12">
        <v>36.00</v>
      </c>
      <c r="F41" s="12">
        <v>36.00</v>
      </c>
      <c r="G41" s="12">
        <v>36.00</v>
      </c>
      <c r="H41" s="12">
        <v>36.00</v>
      </c>
      <c r="I41" s="12">
        <v>36.00</v>
      </c>
      <c r="J41" s="12">
        <v>36.00</v>
      </c>
      <c r="K41" s="12">
        <v>36.00</v>
      </c>
      <c r="L41" s="12">
        <v>36.00</v>
      </c>
      <c r="M41" s="12">
        <v>36.00</v>
      </c>
      <c r="N41" s="12">
        <v>36.00</v>
      </c>
      <c r="O41" s="10">
        <f>SUM(C41:N41)</f>
        <v>432.0</v>
      </c>
    </row>
    <row r="42">
      <c r="A42" t="inlineStr">
        <is>
          <t xml:space="preserve">IRS state</t>
        </is>
      </c>
      <c r="B42" t="inlineStr">
        <is>
          <t xml:space="preserve">Taxes</t>
        </is>
      </c>
      <c r="C42" s="12">
        <v>114.00</v>
      </c>
      <c r="D42" s="12">
        <v>114.00</v>
      </c>
      <c r="E42" s="12">
        <v>114.00</v>
      </c>
      <c r="F42" s="12">
        <v>114.00</v>
      </c>
      <c r="G42" s="12">
        <v>114.00</v>
      </c>
      <c r="H42" s="12">
        <v>114.00</v>
      </c>
      <c r="I42" s="12">
        <v>114.00</v>
      </c>
      <c r="J42" s="12">
        <v>114.00</v>
      </c>
      <c r="K42" s="12">
        <v>114.00</v>
      </c>
      <c r="L42" s="12">
        <v>114.00</v>
      </c>
      <c r="M42" s="12">
        <v>114.00</v>
      </c>
      <c r="N42" s="12">
        <v>114.00</v>
      </c>
      <c r="O42" s="10">
        <f>SUM(C42:N42)</f>
        <v>1368.0</v>
      </c>
    </row>
    <row r="43">
      <c r="A43" t="inlineStr">
        <is>
          <t xml:space="preserve">IRS federal</t>
        </is>
      </c>
      <c r="B43" t="inlineStr">
        <is>
          <t xml:space="preserve">Taxes</t>
        </is>
      </c>
      <c r="C43" s="12">
        <v>103.00</v>
      </c>
      <c r="D43" s="12">
        <v>103.00</v>
      </c>
      <c r="E43" s="12">
        <v>103.00</v>
      </c>
      <c r="F43" s="12">
        <v>103.00</v>
      </c>
      <c r="G43" s="12">
        <v>103.00</v>
      </c>
      <c r="H43" s="12">
        <v>103.00</v>
      </c>
      <c r="I43" s="12">
        <v>103.00</v>
      </c>
      <c r="J43" s="12">
        <v>103.00</v>
      </c>
      <c r="K43" s="12">
        <v>103.00</v>
      </c>
      <c r="L43" s="12">
        <v>103.00</v>
      </c>
      <c r="M43" s="12">
        <v>103.00</v>
      </c>
      <c r="N43" s="12">
        <v>103.00</v>
      </c>
      <c r="O43" s="10">
        <f>SUM(C43:N43)</f>
        <v>1236.0</v>
      </c>
    </row>
    <row r="44">
      <c r="A44" t="inlineStr">
        <is>
          <t xml:space="preserve">Netflix</t>
        </is>
      </c>
      <c r="B44" t="inlineStr">
        <is>
          <t xml:space="preserve">Subscriptions</t>
        </is>
      </c>
      <c r="C44" s="12">
        <v>21.31</v>
      </c>
      <c r="D44" s="12">
        <v>21.31</v>
      </c>
      <c r="E44" s="12">
        <v>21.31</v>
      </c>
      <c r="F44" s="12">
        <v>21.31</v>
      </c>
      <c r="G44" s="12">
        <v>21.31</v>
      </c>
      <c r="H44" s="12">
        <v>21.31</v>
      </c>
      <c r="I44" s="12">
        <v>21.31</v>
      </c>
      <c r="J44" s="12">
        <v>21.31</v>
      </c>
      <c r="K44" s="12">
        <v>21.31</v>
      </c>
      <c r="L44" s="12">
        <v>21.31</v>
      </c>
      <c r="M44" s="12">
        <v>21.31</v>
      </c>
      <c r="N44" s="12">
        <v>21.31</v>
      </c>
      <c r="O44" s="10">
        <f>SUM(C44:N44)</f>
        <v>255.72</v>
      </c>
    </row>
    <row r="45">
      <c r="A45" s="15" t="inlineStr">
        <is>
          <t xml:space="preserve">TOTAL</t>
        </is>
      </c>
      <c r="B45" s="15"/>
      <c r="C45" s="16">
        <f>SUM(C4:C44)</f>
        <v>12286.05</v>
      </c>
      <c r="D45" s="16">
        <f>SUM(D4:D44)</f>
        <v>11054.86</v>
      </c>
      <c r="E45" s="16">
        <f>SUM(E4:E44)</f>
        <v>12433.11</v>
      </c>
      <c r="F45" s="16">
        <f>SUM(F4:F44)</f>
        <v>11215.7</v>
      </c>
      <c r="G45" s="16">
        <f>SUM(G4:G44)</f>
        <v>11649.67</v>
      </c>
      <c r="H45" s="16">
        <f>SUM(H4:H44)</f>
        <v>10613.91</v>
      </c>
      <c r="I45" s="16">
        <f>SUM(I4:I44)</f>
        <v>12134.43</v>
      </c>
      <c r="J45" s="16">
        <f>SUM(J4:J44)</f>
        <v>10484.97</v>
      </c>
      <c r="K45" s="16">
        <f>SUM(K4:K44)</f>
        <v>13090.85</v>
      </c>
      <c r="L45" s="16">
        <f>SUM(L4:L44)</f>
        <v>11162.97</v>
      </c>
      <c r="M45" s="16">
        <f>SUM(M4:M44)</f>
        <v>10379.8</v>
      </c>
      <c r="N45" s="16">
        <f>SUM(N4:N44)</f>
        <v>10877.94</v>
      </c>
      <c r="O45" s="16">
        <f>SUM(O4:O44)</f>
        <v>137384.26</v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 showGridLines="0">
      <pane xSplit="1" ySplit="3" topLeftCell="B4" activePane="bottomRight" state="frozen"/>
    </sheetView>
  </sheetViews>
  <sheetFormatPr defaultRowHeight="15"/>
  <cols>
    <col min="1" max="1" width="30.00" customWidth="1"/>
    <col min="2" max="2" width="12.00" customWidth="1"/>
    <col min="3" max="3" width="12.00" customWidth="1"/>
    <col min="4" max="4" width="12.00" customWidth="1"/>
    <col min="5" max="5" width="12.00" customWidth="1"/>
    <col min="6" max="6" width="12.00" customWidth="1"/>
    <col min="7" max="7" width="12.00" customWidth="1"/>
    <col min="8" max="8" width="12.00" customWidth="1"/>
    <col min="9" max="9" width="12.00" customWidth="1"/>
    <col min="10" max="10" width="12.00" customWidth="1"/>
    <col min="11" max="11" width="12.00" customWidth="1"/>
    <col min="12" max="12" width="12.00" customWidth="1"/>
    <col min="13" max="13" width="12.00" customWidth="1"/>
    <col min="14" max="14" width="14.00" customWidth="1"/>
    <col min="15" max="15" width="10.00" customWidth="1"/>
  </cols>
  <sheetData>
    <row r="1" ht="24.00" customHeight="1">
      <c r="A1" s="1" t="inlineStr">
        <is>
          <t xml:space="preserve">Category by month</t>
        </is>
      </c>
    </row>
    <row r="2">
      <c r="A2" s="2" t="inlineStr">
        <is>
          <t xml:space="preserve">September 2026 to August 2027.</t>
        </is>
      </c>
    </row>
    <row r="3" ht="28.00" customHeight="1">
      <c r="A3" s="4" t="inlineStr">
        <is>
          <t xml:space="preserve">Category</t>
        </is>
      </c>
      <c r="B3" s="3" t="inlineStr">
        <is>
          <t xml:space="preserve">Sep 2026</t>
        </is>
      </c>
      <c r="C3" s="3" t="inlineStr">
        <is>
          <t xml:space="preserve">Oct 2026</t>
        </is>
      </c>
      <c r="D3" s="3" t="inlineStr">
        <is>
          <t xml:space="preserve">Nov 2026</t>
        </is>
      </c>
      <c r="E3" s="3" t="inlineStr">
        <is>
          <t xml:space="preserve">Dec 2026</t>
        </is>
      </c>
      <c r="F3" s="3" t="inlineStr">
        <is>
          <t xml:space="preserve">Jan 2027</t>
        </is>
      </c>
      <c r="G3" s="3" t="inlineStr">
        <is>
          <t xml:space="preserve">Feb 2027</t>
        </is>
      </c>
      <c r="H3" s="3" t="inlineStr">
        <is>
          <t xml:space="preserve">Mar 2027</t>
        </is>
      </c>
      <c r="I3" s="3" t="inlineStr">
        <is>
          <t xml:space="preserve">Apr 2027</t>
        </is>
      </c>
      <c r="J3" s="3" t="inlineStr">
        <is>
          <t xml:space="preserve">May 2027</t>
        </is>
      </c>
      <c r="K3" s="3" t="inlineStr">
        <is>
          <t xml:space="preserve">Jun 2027</t>
        </is>
      </c>
      <c r="L3" s="3" t="inlineStr">
        <is>
          <t xml:space="preserve">Jul 2027</t>
        </is>
      </c>
      <c r="M3" s="3" t="inlineStr">
        <is>
          <t xml:space="preserve">Aug 2027</t>
        </is>
      </c>
      <c r="N3" s="3" t="inlineStr">
        <is>
          <t xml:space="preserve">Year</t>
        </is>
      </c>
      <c r="O3" s="3" t="inlineStr">
        <is>
          <t xml:space="preserve">Share</t>
        </is>
      </c>
    </row>
    <row r="4">
      <c r="A4" s="18" t="inlineStr">
        <is>
          <t xml:space="preserve">Housing</t>
        </is>
      </c>
      <c r="B4" s="9">
        <v>3603.24</v>
      </c>
      <c r="C4" s="9">
        <v>3603.24</v>
      </c>
      <c r="D4" s="9">
        <v>5404.86</v>
      </c>
      <c r="E4" s="9">
        <v>3603.24</v>
      </c>
      <c r="F4" s="9">
        <v>3603.24</v>
      </c>
      <c r="G4" s="9">
        <v>3603.24</v>
      </c>
      <c r="H4" s="9">
        <v>3603.24</v>
      </c>
      <c r="I4" s="9">
        <v>3603.24</v>
      </c>
      <c r="J4" s="9">
        <v>5404.86</v>
      </c>
      <c r="K4" s="9">
        <v>3603.24</v>
      </c>
      <c r="L4" s="9">
        <v>3603.24</v>
      </c>
      <c r="M4" s="9">
        <v>3603.24</v>
      </c>
      <c r="N4" s="19">
        <f>SUM(B4:M4)</f>
        <v>46842.12</v>
      </c>
      <c r="O4" s="14">
        <v>0.3409569626098361</v>
      </c>
    </row>
    <row r="5">
      <c r="A5" s="18" t="inlineStr">
        <is>
          <t xml:space="preserve">Utilities</t>
        </is>
      </c>
      <c r="B5" s="9">
        <v>2847.18</v>
      </c>
      <c r="C5" s="9">
        <v>1098.49</v>
      </c>
      <c r="D5" s="9">
        <v>782.76</v>
      </c>
      <c r="E5" s="9">
        <v>1776.83</v>
      </c>
      <c r="F5" s="9">
        <v>1283.44</v>
      </c>
      <c r="G5" s="9">
        <v>1175.04</v>
      </c>
      <c r="H5" s="9">
        <v>2178.06</v>
      </c>
      <c r="I5" s="9">
        <v>1046.10</v>
      </c>
      <c r="J5" s="9">
        <v>923.00</v>
      </c>
      <c r="K5" s="9">
        <v>1724.10</v>
      </c>
      <c r="L5" s="9">
        <v>940.93</v>
      </c>
      <c r="M5" s="9">
        <v>1029.21</v>
      </c>
      <c r="N5" s="19">
        <f>SUM(B5:M5)</f>
        <v>16805.14</v>
      </c>
      <c r="O5" s="14">
        <v>0.12232216412564292</v>
      </c>
    </row>
    <row r="6">
      <c r="A6" s="18" t="inlineStr">
        <is>
          <t xml:space="preserve">Insurance</t>
        </is>
      </c>
      <c r="B6" s="9">
        <v>513.27</v>
      </c>
      <c r="C6" s="9">
        <v>513.27</v>
      </c>
      <c r="D6" s="9">
        <v>513.27</v>
      </c>
      <c r="E6" s="9">
        <v>513.27</v>
      </c>
      <c r="F6" s="9">
        <v>513.27</v>
      </c>
      <c r="G6" s="9">
        <v>513.27</v>
      </c>
      <c r="H6" s="9">
        <v>513.27</v>
      </c>
      <c r="I6" s="9">
        <v>513.27</v>
      </c>
      <c r="J6" s="9">
        <v>513.27</v>
      </c>
      <c r="K6" s="9">
        <v>513.27</v>
      </c>
      <c r="L6" s="9">
        <v>513.27</v>
      </c>
      <c r="M6" s="9">
        <v>513.27</v>
      </c>
      <c r="N6" s="19">
        <f>SUM(B6:M6)</f>
        <v>6159.24</v>
      </c>
      <c r="O6" s="14">
        <v>0.044832210036288</v>
      </c>
    </row>
    <row r="7">
      <c r="A7" s="18" t="inlineStr">
        <is>
          <t xml:space="preserve">Transportation</t>
        </is>
      </c>
      <c r="B7" s="9">
        <v>1412.63</v>
      </c>
      <c r="C7" s="9">
        <v>1412.63</v>
      </c>
      <c r="D7" s="9">
        <v>1503.40</v>
      </c>
      <c r="E7" s="9">
        <v>1412.63</v>
      </c>
      <c r="F7" s="9">
        <v>1503.40</v>
      </c>
      <c r="G7" s="9">
        <v>1412.63</v>
      </c>
      <c r="H7" s="9">
        <v>1412.63</v>
      </c>
      <c r="I7" s="9">
        <v>1412.63</v>
      </c>
      <c r="J7" s="9">
        <v>1503.40</v>
      </c>
      <c r="K7" s="9">
        <v>1412.63</v>
      </c>
      <c r="L7" s="9">
        <v>1412.63</v>
      </c>
      <c r="M7" s="9">
        <v>1503.40</v>
      </c>
      <c r="N7" s="19">
        <f>SUM(B7:M7)</f>
        <v>17314.64</v>
      </c>
      <c r="O7" s="14">
        <v>0.12603074034827572</v>
      </c>
    </row>
    <row r="8">
      <c r="A8" s="18" t="inlineStr">
        <is>
          <t xml:space="preserve">Groceries</t>
        </is>
      </c>
      <c r="B8" s="9">
        <v>1276.36</v>
      </c>
      <c r="C8" s="9">
        <v>1276.36</v>
      </c>
      <c r="D8" s="9">
        <v>1595.45</v>
      </c>
      <c r="E8" s="9">
        <v>1276.36</v>
      </c>
      <c r="F8" s="9">
        <v>1595.45</v>
      </c>
      <c r="G8" s="9">
        <v>1276.36</v>
      </c>
      <c r="H8" s="9">
        <v>1276.36</v>
      </c>
      <c r="I8" s="9">
        <v>1276.36</v>
      </c>
      <c r="J8" s="9">
        <v>1595.45</v>
      </c>
      <c r="K8" s="9">
        <v>1276.36</v>
      </c>
      <c r="L8" s="9">
        <v>1276.36</v>
      </c>
      <c r="M8" s="9">
        <v>1595.45</v>
      </c>
      <c r="N8" s="19">
        <f>SUM(B8:M8)</f>
        <v>16592.68</v>
      </c>
      <c r="O8" s="14">
        <v>0.12077569875908638</v>
      </c>
    </row>
    <row r="9">
      <c r="A9" s="18" t="inlineStr">
        <is>
          <t xml:space="preserve">Medical &amp; dental</t>
        </is>
      </c>
      <c r="B9" s="9">
        <v>400.00</v>
      </c>
      <c r="C9" s="9">
        <v>400.00</v>
      </c>
      <c r="D9" s="9">
        <v>400.00</v>
      </c>
      <c r="E9" s="9">
        <v>400.00</v>
      </c>
      <c r="F9" s="9">
        <v>400.00</v>
      </c>
      <c r="G9" s="9">
        <v>400.00</v>
      </c>
      <c r="H9" s="9">
        <v>400.00</v>
      </c>
      <c r="I9" s="9">
        <v>400.00</v>
      </c>
      <c r="J9" s="9">
        <v>400.00</v>
      </c>
      <c r="K9" s="9">
        <v>400.00</v>
      </c>
      <c r="L9" s="9">
        <v>400.00</v>
      </c>
      <c r="M9" s="9">
        <v>400.00</v>
      </c>
      <c r="N9" s="19">
        <f>SUM(B9:M9)</f>
        <v>4800.0</v>
      </c>
      <c r="O9" s="14">
        <v>0.03493850023285055</v>
      </c>
    </row>
    <row r="10">
      <c r="A10" s="18" t="inlineStr">
        <is>
          <t xml:space="preserve">Kids &amp; activities</t>
        </is>
      </c>
      <c r="B10" s="9"/>
      <c r="C10" s="9">
        <v>517.50</v>
      </c>
      <c r="D10" s="9"/>
      <c r="E10" s="9"/>
      <c r="F10" s="9">
        <v>517.50</v>
      </c>
      <c r="G10" s="9"/>
      <c r="H10" s="9">
        <v>517.50</v>
      </c>
      <c r="I10" s="9"/>
      <c r="J10" s="9">
        <v>517.50</v>
      </c>
      <c r="K10" s="9"/>
      <c r="L10" s="9"/>
      <c r="M10" s="9"/>
      <c r="N10" s="19">
        <f>SUM(B10:M10)</f>
        <v>2070.0</v>
      </c>
      <c r="O10" s="14">
        <v>0.015067228225416798</v>
      </c>
    </row>
    <row r="11">
      <c r="A11" s="18" t="inlineStr">
        <is>
          <t xml:space="preserve">Loans</t>
        </is>
      </c>
      <c r="B11" s="9">
        <v>1196.28</v>
      </c>
      <c r="C11" s="9">
        <v>1196.28</v>
      </c>
      <c r="D11" s="9">
        <v>1196.28</v>
      </c>
      <c r="E11" s="9">
        <v>1196.28</v>
      </c>
      <c r="F11" s="9">
        <v>1196.28</v>
      </c>
      <c r="G11" s="9">
        <v>1196.28</v>
      </c>
      <c r="H11" s="9">
        <v>1196.28</v>
      </c>
      <c r="I11" s="9">
        <v>1196.28</v>
      </c>
      <c r="J11" s="9">
        <v>1196.28</v>
      </c>
      <c r="K11" s="9">
        <v>1196.28</v>
      </c>
      <c r="L11" s="9">
        <v>1196.28</v>
      </c>
      <c r="M11" s="9">
        <v>1196.28</v>
      </c>
      <c r="N11" s="19">
        <f>SUM(B11:M11)</f>
        <v>14355.36</v>
      </c>
      <c r="O11" s="14">
        <v>0.10449057264638613</v>
      </c>
    </row>
    <row r="12">
      <c r="A12" s="18" t="inlineStr">
        <is>
          <t xml:space="preserve">Credit cards &amp; store accounts</t>
        </is>
      </c>
      <c r="B12" s="9">
        <v>798.78</v>
      </c>
      <c r="C12" s="9">
        <v>798.78</v>
      </c>
      <c r="D12" s="9">
        <v>798.78</v>
      </c>
      <c r="E12" s="9">
        <v>798.78</v>
      </c>
      <c r="F12" s="9">
        <v>798.78</v>
      </c>
      <c r="G12" s="9">
        <v>798.78</v>
      </c>
      <c r="H12" s="9">
        <v>798.78</v>
      </c>
      <c r="I12" s="9">
        <v>798.78</v>
      </c>
      <c r="J12" s="9">
        <v>798.78</v>
      </c>
      <c r="K12" s="9">
        <v>798.78</v>
      </c>
      <c r="L12" s="9">
        <v>798.78</v>
      </c>
      <c r="M12" s="9">
        <v>798.78</v>
      </c>
      <c r="N12" s="19">
        <f>SUM(B12:M12)</f>
        <v>9585.36</v>
      </c>
      <c r="O12" s="14">
        <v>0.0697704380399909</v>
      </c>
    </row>
    <row r="13">
      <c r="A13" s="18" t="inlineStr">
        <is>
          <t xml:space="preserve">Taxes</t>
        </is>
      </c>
      <c r="B13" s="9">
        <v>217.00</v>
      </c>
      <c r="C13" s="9">
        <v>217.00</v>
      </c>
      <c r="D13" s="9">
        <v>217.00</v>
      </c>
      <c r="E13" s="9">
        <v>217.00</v>
      </c>
      <c r="F13" s="9">
        <v>217.00</v>
      </c>
      <c r="G13" s="9">
        <v>217.00</v>
      </c>
      <c r="H13" s="9">
        <v>217.00</v>
      </c>
      <c r="I13" s="9">
        <v>217.00</v>
      </c>
      <c r="J13" s="9">
        <v>217.00</v>
      </c>
      <c r="K13" s="9">
        <v>217.00</v>
      </c>
      <c r="L13" s="9">
        <v>217.00</v>
      </c>
      <c r="M13" s="9">
        <v>217.00</v>
      </c>
      <c r="N13" s="19">
        <f>SUM(B13:M13)</f>
        <v>2604.0</v>
      </c>
      <c r="O13" s="14">
        <v>0.018954136376321422</v>
      </c>
    </row>
    <row r="14">
      <c r="A14" s="18" t="inlineStr">
        <is>
          <t xml:space="preserve">Subscriptions</t>
        </is>
      </c>
      <c r="B14" s="9">
        <v>21.31</v>
      </c>
      <c r="C14" s="9">
        <v>21.31</v>
      </c>
      <c r="D14" s="9">
        <v>21.31</v>
      </c>
      <c r="E14" s="9">
        <v>21.31</v>
      </c>
      <c r="F14" s="9">
        <v>21.31</v>
      </c>
      <c r="G14" s="9">
        <v>21.31</v>
      </c>
      <c r="H14" s="9">
        <v>21.31</v>
      </c>
      <c r="I14" s="9">
        <v>21.31</v>
      </c>
      <c r="J14" s="9">
        <v>21.31</v>
      </c>
      <c r="K14" s="9">
        <v>21.31</v>
      </c>
      <c r="L14" s="9">
        <v>21.31</v>
      </c>
      <c r="M14" s="9">
        <v>21.31</v>
      </c>
      <c r="N14" s="19">
        <f>SUM(B14:M14)</f>
        <v>255.72</v>
      </c>
      <c r="O14" s="14">
        <v>0.0018613485999051129</v>
      </c>
    </row>
    <row r="15">
      <c r="A15" s="15" t="inlineStr">
        <is>
          <t xml:space="preserve">TOTAL</t>
        </is>
      </c>
      <c r="B15" s="16">
        <f>SUM(B4:B14)</f>
        <v>12286.05</v>
      </c>
      <c r="C15" s="16">
        <f>SUM(C4:C14)</f>
        <v>11054.86</v>
      </c>
      <c r="D15" s="16">
        <f>SUM(D4:D14)</f>
        <v>12433.11</v>
      </c>
      <c r="E15" s="16">
        <f>SUM(E4:E14)</f>
        <v>11215.7</v>
      </c>
      <c r="F15" s="16">
        <f>SUM(F4:F14)</f>
        <v>11649.67</v>
      </c>
      <c r="G15" s="16">
        <f>SUM(G4:G14)</f>
        <v>10613.91</v>
      </c>
      <c r="H15" s="16">
        <f>SUM(H4:H14)</f>
        <v>12134.43</v>
      </c>
      <c r="I15" s="16">
        <f>SUM(I4:I14)</f>
        <v>10484.97</v>
      </c>
      <c r="J15" s="16">
        <f>SUM(J4:J14)</f>
        <v>13090.85</v>
      </c>
      <c r="K15" s="16">
        <f>SUM(K4:K14)</f>
        <v>11162.97</v>
      </c>
      <c r="L15" s="16">
        <f>SUM(L4:L14)</f>
        <v>10379.8</v>
      </c>
      <c r="M15" s="16">
        <f>SUM(M4:M14)</f>
        <v>10877.94</v>
      </c>
      <c r="N15" s="16">
        <f>SUM(N4:N14)</f>
        <v>137384.26</v>
      </c>
      <c r="O15" s="17">
        <v>1.0</v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 showGridLines="0"/>
  </sheetViews>
  <sheetFormatPr defaultRowHeight="15"/>
  <cols>
    <col min="1" max="1" width="30.00" customWidth="1"/>
    <col min="2" max="2" width="14.00" customWidth="1"/>
    <col min="3" max="3" width="26.00" customWidth="1"/>
    <col min="4" max="4" width="14.00" customWidth="1"/>
    <col min="5" max="5" width="70.00" customWidth="1"/>
  </cols>
  <sheetData>
    <row r="1" ht="24.00" customHeight="1">
      <c r="A1" s="1" t="inlineStr">
        <is>
          <t xml:space="preserve">What is not counted, and what to check</t>
        </is>
      </c>
    </row>
    <row r="3">
      <c r="A3" s="5" t="inlineStr">
        <is>
          <t xml:space="preserve">Inactive - held in bills.json, excluded from every figure</t>
        </is>
      </c>
    </row>
    <row r="4" ht="24.00" customHeight="1">
      <c r="A4" s="4" t="inlineStr">
        <is>
          <t xml:space="preserve">Bill</t>
        </is>
      </c>
      <c r="B4" s="3" t="inlineStr">
        <is>
          <t xml:space="preserve">Amount</t>
        </is>
      </c>
      <c r="C4" s="4" t="inlineStr">
        <is>
          <t xml:space="preserve">How it recurred</t>
        </is>
      </c>
      <c r="D4" s="3"/>
      <c r="E4" s="4" t="inlineStr">
        <is>
          <t xml:space="preserve">Why</t>
        </is>
      </c>
    </row>
    <row r="5">
      <c r="A5" t="inlineStr">
        <is>
          <t xml:space="preserve">Affirm large</t>
        </is>
      </c>
      <c r="B5" s="9">
        <v>373.13</v>
      </c>
      <c r="C5" t="inlineStr">
        <is>
          <t xml:space="preserve">Monthly, 29th</t>
        </is>
      </c>
      <c r="D5"/>
      <c r="E5" s="7" t="inlineStr">
        <is>
          <t xml:space="preserve">PAID OFF - confirmed by the household 11 Aug 2026. Ran 05/01, 06/12 and 06/29/2026 at $373.13. Deactivated, not deleted. The separate $73.07 monthly Affirm (id 'affirm') is unaffected and still active.</t>
        </is>
      </c>
    </row>
    <row r="6">
      <c r="A6" t="inlineStr">
        <is>
          <t xml:space="preserve">Trilogy Lacrosse</t>
        </is>
      </c>
      <c r="B6" s="9">
        <v>100.00</v>
      </c>
      <c r="C6" t="inlineStr">
        <is>
          <t xml:space="preserve">Monthly, 4th</t>
        </is>
      </c>
      <c r="D6"/>
      <c r="E6" s="7" t="inlineStr">
        <is>
          <t xml:space="preserve">ENDED - confirmed by the household 11 Aug 2026. Ran $100/month Jan-May 2026, plus $225.00 on 12/10/2025. Deactivated, not deleted.</t>
        </is>
      </c>
    </row>
    <row r="8">
      <c r="A8" s="5" t="inlineStr">
        <is>
          <t xml:space="preserve">Flagged for review in bills.json</t>
        </is>
      </c>
    </row>
    <row r="9" ht="24.00" customHeight="1">
      <c r="A9" s="4" t="inlineStr">
        <is>
          <t xml:space="preserve">Bill</t>
        </is>
      </c>
      <c r="B9" s="3" t="inlineStr">
        <is>
          <t xml:space="preserve">Per month</t>
        </is>
      </c>
      <c r="C9" s="3"/>
      <c r="D9" s="3"/>
      <c r="E9" s="4" t="inlineStr">
        <is>
          <t xml:space="preserve">What is flagged</t>
        </is>
      </c>
    </row>
    <row r="10">
      <c r="A10" t="inlineStr">
        <is>
          <t xml:space="preserve">Mortgage</t>
        </is>
      </c>
      <c r="B10" s="10">
        <v>3903.51</v>
      </c>
      <c r="C10"/>
      <c r="D10"/>
      <c r="E10" s="7" t="inlineStr">
        <is>
          <t xml:space="preserve">CORRECTED from semimonthly to biweekly. 15 consecutive payments 12/15/2025-06/29/2026 are exactly 14 days apart. Semimonthly modelled 24/yr; biweekly is 26/yr, a $3,603.24/yr difference. Extra same-week entries in the statements are failed-payment retries, not additional payments.</t>
        </is>
      </c>
    </row>
    <row r="11">
      <c r="A11" t="inlineStr">
        <is>
          <t xml:space="preserve">Kia</t>
        </is>
      </c>
      <c r="B11" s="10">
        <v>742.65</v>
      </c>
      <c r="C11"/>
      <c r="D11"/>
      <c r="E11" s="7" t="inlineStr">
        <is>
          <t xml:space="preserve">Amount corrected from $578.64. Actually recurs every 28 days (05/04, 06/01, 06/29), not monthly, so it drifts earlier and yields 13 payments in some years. due_day 24 tracks the next two occurrences; revisit each quarter.</t>
        </is>
      </c>
    </row>
    <row r="12">
      <c r="A12" t="inlineStr">
        <is>
          <t xml:space="preserve">PNC</t>
        </is>
      </c>
      <c r="B12" s="10">
        <v>150.00</v>
      </c>
      <c r="C12"/>
      <c r="D12"/>
      <c r="E12" s="7" t="inlineStr">
        <is>
          <t xml:space="preserve">Varies $70.00-$150.00 and the date moves. $70.00 is the recent floor.</t>
        </is>
      </c>
    </row>
    <row r="13">
      <c r="A13" t="inlineStr">
        <is>
          <t xml:space="preserve">Comenity</t>
        </is>
      </c>
      <c r="B13" s="10">
        <v>65.00</v>
      </c>
      <c r="C13"/>
      <c r="D13"/>
      <c r="E13" s="7" t="inlineStr">
        <is>
          <t xml:space="preserve">Irregular: 12/16, 02/03, 03/13, 05/05, 06/12, amounts $40.00-$65.00. Not on the household sheet.</t>
        </is>
      </c>
    </row>
    <row r="14">
      <c r="A14" t="inlineStr">
        <is>
          <t xml:space="preserve">Culligan</t>
        </is>
      </c>
      <c r="B14" s="10">
        <v>307.70</v>
      </c>
      <c r="C14"/>
      <c r="D14"/>
      <c r="E14" s="7" t="inlineStr">
        <is>
          <t xml:space="preserve">Base $40.39, but 01/05 was $307.70 and 04/06 was $143.39 - likely periodic salt or service deliveries on top.</t>
        </is>
      </c>
    </row>
    <row r="15">
      <c r="A15" t="inlineStr">
        <is>
          <t xml:space="preserve">Republic trash Q4</t>
        </is>
      </c>
      <c r="B15" s="10">
        <v>14.78</v>
      </c>
      <c r="C15"/>
      <c r="D15"/>
      <c r="E15" s="7" t="inlineStr">
        <is>
          <t xml:space="preserve">CORRECTED from biweekly $92.00 to QUARTERLY $177.30. Observed 01/07 $168.12 and 04/07 $177.30, exactly 90 days apart. Modelled as dated one-offs because the schema has no quarterly frequency.</t>
        </is>
      </c>
    </row>
    <row r="16">
      <c r="A16" t="inlineStr">
        <is>
          <t xml:space="preserve">Republic trash Q1</t>
        </is>
      </c>
      <c r="B16" s="10">
        <v>14.78</v>
      </c>
      <c r="C16"/>
      <c r="D16"/>
      <c r="E16" s="7" t="inlineStr">
        <is>
          <t xml:space="preserve">See trash. Next quarterly instalment.</t>
        </is>
      </c>
    </row>
    <row r="17">
      <c r="A17" t="inlineStr">
        <is>
          <t xml:space="preserve">Sewer</t>
        </is>
      </c>
      <c r="B17" s="10">
        <v>25.38</v>
      </c>
      <c r="C17"/>
      <c r="D17"/>
      <c r="E17" s="7" t="inlineStr">
        <is>
          <t xml:space="preserve">POSSIBLY ANNUAL, UNCONFIRMED - the household does not yet know. No matching payment appears in 19 months of statements, including the September window. Left active at $304.50 on 1 Sep so it is budgeted for rather than forgotten.</t>
        </is>
      </c>
    </row>
    <row r="18">
      <c r="A18" t="inlineStr">
        <is>
          <t xml:space="preserve">Upstart past bills (from Sep)</t>
        </is>
      </c>
      <c r="B18" s="10">
        <v>337.61</v>
      </c>
      <c r="C18"/>
      <c r="D18"/>
      <c r="E18" s="7" t="inlineStr">
        <is>
          <t xml:space="preserve">Steps up from $86.46 on 24 Sep 2026 per the household. The household said the reduced rate ran 'two months'; if that means it ends after 24 Aug rather than 24 Sep, this start date is a month late and the forecast is optimistic by $251.15 for September. Confirm.</t>
        </is>
      </c>
    </row>
    <row r="19">
      <c r="A19" t="inlineStr">
        <is>
          <t xml:space="preserve">Town of Clinton water</t>
        </is>
      </c>
      <c r="B19" s="10">
        <v>291.18</v>
      </c>
      <c r="C19"/>
      <c r="D19"/>
      <c r="E19" s="7" t="inlineStr">
        <is>
          <t xml:space="preserve">Actual annual spend: 2022 $1,088.42, 2023 $1,121.76, 2024 $1,318.11 (mean $1,176.10). Billed irregularly - between two and five payments a year, not on a fixed date - so this is the annual mean spread over four quarters rather than a real due date.</t>
        </is>
      </c>
    </row>
    <row r="20">
      <c r="A20" t="inlineStr">
        <is>
          <t xml:space="preserve">IRS state</t>
        </is>
      </c>
      <c r="B20" s="10">
        <v>114.00</v>
      </c>
      <c r="C20"/>
      <c r="D20"/>
      <c r="E20" s="7" t="inlineStr">
        <is>
          <t xml:space="preserve">New, $114.00/month, per the household. Due day assumed the same as the federal instalment; confirm. Not yet visible in any statement.</t>
        </is>
      </c>
    </row>
    <row r="21">
      <c r="A21" t="inlineStr">
        <is>
          <t xml:space="preserve">Loew &amp; Patel braces</t>
        </is>
      </c>
      <c r="B21" s="10">
        <v>400.00</v>
      </c>
      <c r="C21"/>
      <c r="D21"/>
      <c r="E21" s="7" t="inlineStr">
        <is>
          <t xml:space="preserve">SCHEDULE UNKNOWN - flagged, not guessed. The statements show $1,000.00 on 06/10/2026, $129.47 on 04/29 and 06/24, and smaller amounts through the spring. No pattern is derivable. Held at the household's $400.00/month placeholder. observed_max is deliberately NOT set: with it, the engine forecast the one-off $1,000.00 every month, stacking a worst-case rule on top of a figure that was already a guess. Replace the whole entry once Loew &amp; Patel confirm the remaining schedule.</t>
        </is>
      </c>
    </row>
    <row r="22">
      <c r="A22" t="inlineStr">
        <is>
          <t xml:space="preserve">JCP&amp;L past due (deferred 3 Sep)</t>
        </is>
      </c>
      <c r="B22" s="10">
        <v>31.19</v>
      </c>
      <c r="C22"/>
      <c r="D22"/>
      <c r="E22" s="7" t="inlineStr">
        <is>
          <t xml:space="preserve">Added 11 Sep 2026. The 3 Sep electric payment was deferred, so it dropped out of the forecast once the date passed - the money is still owed. Carried back in as a one-off dated 15 Sep. AMOUNT IS THE MODELLED SEPTEMBER FIGURE ($374.22 from the month-of-year profile), not a figure read off a bill: the real past-due balance may be higher and may carry a late fee. Replace it with the amount on the JCP&amp;L statement and clear needs_review. This is in ADDITION to the recurring 3 Oct occurrence.</t>
        </is>
      </c>
    </row>
    <row r="23">
      <c r="A23" t="inlineStr">
        <is>
          <t xml:space="preserve">Sewer past due (deferred 1 Sep)</t>
        </is>
      </c>
      <c r="B23" s="10">
        <v>25.38</v>
      </c>
      <c r="C23"/>
      <c r="D23"/>
      <c r="E23" s="7" t="inlineStr">
        <is>
          <t xml:space="preserve">Added 11 Sep 2026. The 1 Sep sewer payment was deferred and the date has since passed, so it left the forecast while still being owed. Carried back in as a one-off dated 15 Sep at the configured $304.50. That figure is itself unconfirmed - the only sewer payment in 36 months of statements is $135.00 in Sep 2023 - so check the bill before paying and clear needs_review. The annual 'sewer' entry still stands for 1 Sep 2027.</t>
        </is>
      </c>
    </row>
    <row r="25">
      <c r="A25" s="5" t="inlineStr">
        <is>
          <t xml:space="preserve">Amounts that are estimates, not fixed figures</t>
        </is>
      </c>
    </row>
    <row r="26" ht="24.00" customHeight="1">
      <c r="A26" s="4" t="inlineStr">
        <is>
          <t xml:space="preserve">Bill</t>
        </is>
      </c>
      <c r="B26" s="3" t="inlineStr">
        <is>
          <t xml:space="preserve">Per month</t>
        </is>
      </c>
      <c r="C26" s="3" t="inlineStr">
        <is>
          <t xml:space="preserve">Confidence</t>
        </is>
      </c>
      <c r="D26" s="3" t="inlineStr">
        <is>
          <t xml:space="preserve">Range seen</t>
        </is>
      </c>
      <c r="E26" s="4" t="inlineStr">
        <is>
          <t xml:space="preserve">Note</t>
        </is>
      </c>
    </row>
    <row r="27">
      <c r="A27" t="inlineStr">
        <is>
          <t xml:space="preserve">Capital One CC</t>
        </is>
      </c>
      <c r="B27" s="10">
        <v>163.00</v>
      </c>
      <c r="C27" s="21" t="inlineStr">
        <is>
          <t xml:space="preserve">medium</t>
        </is>
      </c>
      <c r="D27" t="inlineStr">
        <is>
          <t xml:space="preserve">$154.00 - $163.00</t>
        </is>
      </c>
      <c r="E27" s="7" t="inlineStr">
        <is>
          <t xml:space="preserve">Renegotiated to $105.00 (household, 11 Aug 2026). Was $154.00.</t>
        </is>
      </c>
    </row>
    <row r="28">
      <c r="A28" t="inlineStr">
        <is>
          <t xml:space="preserve">Chase CC Amazon</t>
        </is>
      </c>
      <c r="B28" s="10">
        <v>136.00</v>
      </c>
      <c r="C28" s="21" t="inlineStr">
        <is>
          <t xml:space="preserve">medium</t>
        </is>
      </c>
      <c r="D28" t="inlineStr">
        <is>
          <t xml:space="preserve">$124.00 - $136.00</t>
        </is>
      </c>
      <c r="E28" s="7" t="inlineStr">
        <is>
          <t xml:space="preserve">Renegotiated to $80.00 (household, 11 Aug 2026). Card ending 8026. Autopay 16th-18th.</t>
        </is>
      </c>
    </row>
    <row r="29">
      <c r="A29" t="inlineStr">
        <is>
          <t xml:space="preserve">Lowes</t>
        </is>
      </c>
      <c r="B29" s="10">
        <v>126.00</v>
      </c>
      <c r="C29" s="21" t="inlineStr">
        <is>
          <t xml:space="preserve">medium</t>
        </is>
      </c>
      <c r="D29" t="inlineStr">
        <is>
          <t xml:space="preserve">$122.00 - $126.00</t>
        </is>
      </c>
      <c r="E29" s="7" t="inlineStr">
        <is>
          <t xml:space="preserve">Renegotiated to $69.00 (household, 11 Aug 2026). Was $122.00.</t>
        </is>
      </c>
    </row>
    <row r="30">
      <c r="A30" t="inlineStr">
        <is>
          <t xml:space="preserve">Home Depot</t>
        </is>
      </c>
      <c r="B30" s="10">
        <v>100.00</v>
      </c>
      <c r="C30" s="21" t="inlineStr">
        <is>
          <t xml:space="preserve">low</t>
        </is>
      </c>
      <c r="D30" t="inlineStr">
        <is>
          <t xml:space="preserve">$32.70 - $100.00</t>
        </is>
      </c>
      <c r="E30" s="7"/>
    </row>
    <row r="31">
      <c r="A31" t="inlineStr">
        <is>
          <t xml:space="preserve">Chase CC United</t>
        </is>
      </c>
      <c r="B31" s="10">
        <v>88.00</v>
      </c>
      <c r="C31" s="21" t="inlineStr">
        <is>
          <t xml:space="preserve">medium</t>
        </is>
      </c>
      <c r="D31" t="inlineStr">
        <is>
          <t xml:space="preserve">$76.00 - $88.00</t>
        </is>
      </c>
      <c r="E31" s="7" t="inlineStr">
        <is>
          <t xml:space="preserve">Renegotiated to $46.00 (household, 11 Aug 2026). Card ending 6319. Autopay 21st-23rd.</t>
        </is>
      </c>
    </row>
    <row r="32">
      <c r="A32" t="inlineStr">
        <is>
          <t xml:space="preserve">PNC</t>
        </is>
      </c>
      <c r="B32" s="10">
        <v>150.00</v>
      </c>
      <c r="C32" s="21" t="inlineStr">
        <is>
          <t xml:space="preserve">low</t>
        </is>
      </c>
      <c r="D32" t="inlineStr">
        <is>
          <t xml:space="preserve">$70.00 - $150.00</t>
        </is>
      </c>
      <c r="E32" s="7" t="inlineStr">
        <is>
          <t xml:space="preserve">Varies $70.00-$150.00 and the date moves. $70.00 is the recent floor.</t>
        </is>
      </c>
    </row>
    <row r="33">
      <c r="A33" t="inlineStr">
        <is>
          <t xml:space="preserve">Barclay Old Navy</t>
        </is>
      </c>
      <c r="B33" s="10">
        <v>84.78</v>
      </c>
      <c r="C33" s="21" t="inlineStr">
        <is>
          <t xml:space="preserve">low</t>
        </is>
      </c>
      <c r="D33" t="inlineStr">
        <is>
          <t xml:space="preserve">$52.98 - $84.78</t>
        </is>
      </c>
      <c r="E33" s="7"/>
    </row>
    <row r="34">
      <c r="A34" t="inlineStr">
        <is>
          <t xml:space="preserve">Comenity</t>
        </is>
      </c>
      <c r="B34" s="10">
        <v>65.00</v>
      </c>
      <c r="C34" s="21" t="inlineStr">
        <is>
          <t xml:space="preserve">low</t>
        </is>
      </c>
      <c r="D34" t="inlineStr">
        <is>
          <t xml:space="preserve">$40.00 - $65.00</t>
        </is>
      </c>
      <c r="E34" s="7" t="inlineStr">
        <is>
          <t xml:space="preserve">Irregular: 12/16, 02/03, 03/13, 05/05, 06/12, amounts $40.00-$65.00. Not on the household sheet.</t>
        </is>
      </c>
    </row>
    <row r="35">
      <c r="A35" t="inlineStr">
        <is>
          <t xml:space="preserve">Culligan</t>
        </is>
      </c>
      <c r="B35" s="10">
        <v>307.70</v>
      </c>
      <c r="C35" s="21" t="inlineStr">
        <is>
          <t xml:space="preserve">low</t>
        </is>
      </c>
      <c r="D35" t="inlineStr">
        <is>
          <t xml:space="preserve">$40.39 - $307.70</t>
        </is>
      </c>
      <c r="E35" s="7" t="inlineStr">
        <is>
          <t xml:space="preserve">Base $40.39, but 01/05 was $307.70 and 04/06 was $143.39 - likely periodic salt or service deliveries on top.</t>
        </is>
      </c>
    </row>
    <row r="36">
      <c r="A36" t="inlineStr">
        <is>
          <t xml:space="preserve">Republic trash Q4</t>
        </is>
      </c>
      <c r="B36" s="10">
        <v>14.78</v>
      </c>
      <c r="C36" s="21" t="inlineStr">
        <is>
          <t xml:space="preserve">medium</t>
        </is>
      </c>
      <c r="D36" t="inlineStr">
        <is>
          <t xml:space="preserve">$168.12 - $177.30</t>
        </is>
      </c>
      <c r="E36" s="7" t="inlineStr">
        <is>
          <t xml:space="preserve">CORRECTED from biweekly $92.00 to QUARTERLY $177.30. Observed 01/07 $168.12 and 04/07 $177.30, exactly 90 days apart. Modelled as dated one-offs because the schema has no quarterly frequency.</t>
        </is>
      </c>
    </row>
    <row r="37">
      <c r="A37" t="inlineStr">
        <is>
          <t xml:space="preserve">Republic trash Q1</t>
        </is>
      </c>
      <c r="B37" s="10">
        <v>14.78</v>
      </c>
      <c r="C37" s="21" t="inlineStr">
        <is>
          <t xml:space="preserve">medium</t>
        </is>
      </c>
      <c r="D37" t="inlineStr">
        <is>
          <t xml:space="preserve">$168.12 - $177.30</t>
        </is>
      </c>
      <c r="E37" s="7" t="inlineStr">
        <is>
          <t xml:space="preserve">See trash. Next quarterly instalment.</t>
        </is>
      </c>
    </row>
    <row r="38">
      <c r="A38" t="inlineStr">
        <is>
          <t xml:space="preserve">Town of Clinton water</t>
        </is>
      </c>
      <c r="B38" s="10">
        <v>291.18</v>
      </c>
      <c r="C38" s="21" t="inlineStr">
        <is>
          <t xml:space="preserve">medium</t>
        </is>
      </c>
      <c r="D38" t="inlineStr">
        <is>
          <t xml:space="preserve">$294.03 - $873.53</t>
        </is>
      </c>
      <c r="E38" s="7" t="inlineStr">
        <is>
          <t xml:space="preserve">Actual annual spend: 2022 $1,088.42, 2023 $1,121.76, 2024 $1,318.11 (mean $1,176.10). Billed irregularly - between two and five payments a year, not on a fixed date - so this is the annual mean spread over four quarters rather than a real due date.</t>
        </is>
      </c>
    </row>
    <row r="39">
      <c r="A39" t="inlineStr">
        <is>
          <t xml:space="preserve">Groceries</t>
        </is>
      </c>
      <c r="B39" s="10">
        <v>1382.72</v>
      </c>
      <c r="C39" s="21" t="inlineStr">
        <is>
          <t xml:space="preserve">medium</t>
        </is>
      </c>
      <c r="D39" t="inlineStr">
        <is>
          <t xml:space="preserve">$12.78 - $791.32</t>
        </is>
      </c>
      <c r="E39" s="7" t="inlineStr">
        <is>
          <t xml:space="preserve">ACTUAL, not budget. Mean of 81 full weeks in the statements is $319.09/wk (median $302.15, range $12.78-$791.32). The household sheet said $282.35, under by $36.74/wk. The mean is used rather than the median because under-forecasting an outflow is the direction that causes overdrafts.</t>
        </is>
      </c>
    </row>
    <row r="40">
      <c r="A40" t="inlineStr">
        <is>
          <t xml:space="preserve">Fuel</t>
        </is>
      </c>
      <c r="B40" s="10">
        <v>393.34</v>
      </c>
      <c r="C40" s="21" t="inlineStr">
        <is>
          <t xml:space="preserve">medium</t>
        </is>
      </c>
      <c r="D40" t="inlineStr">
        <is>
          <t xml:space="preserve">$20.00 - $447.12</t>
        </is>
      </c>
      <c r="E40" s="7" t="inlineStr">
        <is>
          <t xml:space="preserve">ACTUAL, not budget. Mean of 69 full weeks is $90.77/wk (median $65.53). The household sheet said $95.48 - close, and slightly high.</t>
        </is>
      </c>
    </row>
    <row r="41">
      <c r="A41" t="inlineStr">
        <is>
          <t xml:space="preserve">Loew &amp; Patel braces</t>
        </is>
      </c>
      <c r="B41" s="10">
        <v>400.00</v>
      </c>
      <c r="C41" s="21" t="inlineStr">
        <is>
          <t xml:space="preserve">low</t>
        </is>
      </c>
      <c r="D41"/>
      <c r="E41" s="7" t="inlineStr">
        <is>
          <t xml:space="preserve">SCHEDULE UNKNOWN - flagged, not guessed. The statements show $1,000.00 on 06/10/2026, $129.47 on 04/29 and 06/24, and smaller amounts through the spring. No pattern is derivable. Held at the household's $400.00/month placeholder. observed_max is deliberately NOT set: with it, the engine forecast the one-off $1,000.00 every month, stacking a worst-case rule on top of a figure that was already a guess. Replace the whole entry once Loew &amp; Patel confirm the remaining schedule.</t>
        </is>
      </c>
    </row>
    <row r="42">
      <c r="A42" t="inlineStr">
        <is>
          <t xml:space="preserve">JCP&amp;L past due (deferred 3 Sep)</t>
        </is>
      </c>
      <c r="B42" s="10">
        <v>31.19</v>
      </c>
      <c r="C42" s="21" t="inlineStr">
        <is>
          <t xml:space="preserve">medium</t>
        </is>
      </c>
      <c r="D42"/>
      <c r="E42" s="7" t="inlineStr">
        <is>
          <t xml:space="preserve">Added 11 Sep 2026. The 3 Sep electric payment was deferred, so it dropped out of the forecast once the date passed - the money is still owed. Carried back in as a one-off dated 15 Sep. AMOUNT IS THE MODELLED SEPTEMBER FIGURE ($374.22 from the month-of-year profile), not a figure read off a bill: the real past-due balance may be higher and may carry a late fee. Replace it with the amount on the JCP&amp;L statement and clear needs_review. This is in ADDITION to the recurring 3 Oct occurrence.</t>
        </is>
      </c>
    </row>
    <row r="43">
      <c r="A43" t="inlineStr">
        <is>
          <t xml:space="preserve">Sewer past due (deferred 1 Sep)</t>
        </is>
      </c>
      <c r="B43" s="10">
        <v>25.38</v>
      </c>
      <c r="C43" s="21" t="inlineStr">
        <is>
          <t xml:space="preserve">medium</t>
        </is>
      </c>
      <c r="D43"/>
      <c r="E43" s="7" t="inlineStr">
        <is>
          <t xml:space="preserve">Added 11 Sep 2026. The 1 Sep sewer payment was deferred and the date has since passed, so it left the forecast while still being owed. Carried back in as a one-off dated 15 Sep at the configured $304.50. That figure is itself unconfirmed - the only sewer payment in 36 months of statements is $135.00 in Sep 2023 - so check the bill before paying and clear needs_review. The annual 'sewer' entry still stands for 1 Sep 2027.</t>
        </is>
      </c>
    </row>
    <row r="45">
      <c r="A45" s="5" t="inlineStr">
        <is>
          <t xml:space="preserve">Where the figure used is the worst case, not the usual amount</t>
        </is>
      </c>
    </row>
    <row r="46" ht="24.00" customHeight="1">
      <c r="A46" s="4" t="inlineStr">
        <is>
          <t xml:space="preserve">Bill</t>
        </is>
      </c>
      <c r="B46" s="3" t="inlineStr">
        <is>
          <t xml:space="preserve">Usual amount</t>
        </is>
      </c>
      <c r="C46" s="3" t="inlineStr">
        <is>
          <t xml:space="preserve">Worst case used</t>
        </is>
      </c>
      <c r="D46" s="3" t="inlineStr">
        <is>
          <t xml:space="preserve">Per month at usual</t>
        </is>
      </c>
      <c r="E46" s="3" t="inlineStr">
        <is>
          <t xml:space="preserve">Difference a year</t>
        </is>
      </c>
    </row>
    <row r="47">
      <c r="A47" t="inlineStr">
        <is>
          <t xml:space="preserve">Culligan</t>
        </is>
      </c>
      <c r="B47" s="9">
        <v>40.39</v>
      </c>
      <c r="C47" s="10">
        <v>307.70</v>
      </c>
      <c r="D47" s="9">
        <v>40.39</v>
      </c>
      <c r="E47" s="10">
        <v>3207.72</v>
      </c>
    </row>
    <row r="48">
      <c r="A48" t="inlineStr">
        <is>
          <t xml:space="preserve">Town of Clinton water</t>
        </is>
      </c>
      <c r="B48" s="9">
        <v>294.03</v>
      </c>
      <c r="C48" s="10">
        <v>873.53</v>
      </c>
      <c r="D48" s="9">
        <v>98.01</v>
      </c>
      <c r="E48" s="10">
        <v>2318.00</v>
      </c>
    </row>
    <row r="49">
      <c r="A49" t="inlineStr">
        <is>
          <t xml:space="preserve">PNC</t>
        </is>
      </c>
      <c r="B49" s="9">
        <v>70.00</v>
      </c>
      <c r="C49" s="10">
        <v>150.00</v>
      </c>
      <c r="D49" s="9">
        <v>70.00</v>
      </c>
      <c r="E49" s="10">
        <v>960.00</v>
      </c>
    </row>
    <row r="50">
      <c r="A50" t="inlineStr">
        <is>
          <t xml:space="preserve">Capital One CC</t>
        </is>
      </c>
      <c r="B50" s="9">
        <v>105.00</v>
      </c>
      <c r="C50" s="10">
        <v>163.00</v>
      </c>
      <c r="D50" s="9">
        <v>105.00</v>
      </c>
      <c r="E50" s="10">
        <v>696.00</v>
      </c>
    </row>
    <row r="51">
      <c r="A51" t="inlineStr">
        <is>
          <t xml:space="preserve">Lowes</t>
        </is>
      </c>
      <c r="B51" s="9">
        <v>69.00</v>
      </c>
      <c r="C51" s="10">
        <v>126.00</v>
      </c>
      <c r="D51" s="9">
        <v>69.00</v>
      </c>
      <c r="E51" s="10">
        <v>684.00</v>
      </c>
    </row>
    <row r="52">
      <c r="A52" t="inlineStr">
        <is>
          <t xml:space="preserve">Chase CC Amazon</t>
        </is>
      </c>
      <c r="B52" s="9">
        <v>80.00</v>
      </c>
      <c r="C52" s="10">
        <v>136.00</v>
      </c>
      <c r="D52" s="9">
        <v>80.00</v>
      </c>
      <c r="E52" s="10">
        <v>672.00</v>
      </c>
    </row>
    <row r="53">
      <c r="A53" t="inlineStr">
        <is>
          <t xml:space="preserve">Chase CC United</t>
        </is>
      </c>
      <c r="B53" s="9">
        <v>46.00</v>
      </c>
      <c r="C53" s="10">
        <v>88.00</v>
      </c>
      <c r="D53" s="9">
        <v>46.00</v>
      </c>
      <c r="E53" s="10">
        <v>504.00</v>
      </c>
    </row>
    <row r="54">
      <c r="A54" t="inlineStr">
        <is>
          <t xml:space="preserve">Barclay Old Navy</t>
        </is>
      </c>
      <c r="B54" s="9">
        <v>60.74</v>
      </c>
      <c r="C54" s="10">
        <v>84.78</v>
      </c>
      <c r="D54" s="9">
        <v>60.74</v>
      </c>
      <c r="E54" s="10">
        <v>288.48</v>
      </c>
    </row>
    <row r="55">
      <c r="A55" t="inlineStr">
        <is>
          <t xml:space="preserve">Comenity</t>
        </is>
      </c>
      <c r="B55" s="9">
        <v>50.00</v>
      </c>
      <c r="C55" s="10">
        <v>65.00</v>
      </c>
      <c r="D55" s="9">
        <v>50.00</v>
      </c>
      <c r="E55" s="10">
        <v>180.00</v>
      </c>
    </row>
    <row r="56">
      <c r="A56" s="15" t="inlineStr">
        <is>
          <t xml:space="preserve">TOTAL</t>
        </is>
      </c>
      <c r="B56" s="15"/>
      <c r="C56" s="15"/>
      <c r="D56" s="16">
        <v>792.52</v>
      </c>
      <c r="E56" s="16">
        <v>9510.20</v>
      </c>
    </row>
    <row r="58">
      <c r="A58" s="5" t="inlineStr">
        <is>
          <t xml:space="preserve">Method</t>
        </is>
      </c>
    </row>
    <row r="59" ht="30.00" customHeight="1">
      <c r="A59" s="7" t="inlineStr">
        <is>
          <t xml:space="preserve">Every figure is built by expanding each bill's real occurrence dates across the twelve calendar months and adding up what falls in each one - no weekly or biweekly amount is annualised by a rounded factor.</t>
        </is>
      </c>
    </row>
    <row r="60" ht="30.00" customHeight="1">
      <c r="A60" s="7" t="inlineStr">
        <is>
          <t xml:space="preserve">A due date falling on a weekend is counted on that date; nothing is shifted to the next working day.</t>
        </is>
      </c>
    </row>
    <row r="61" ht="30.00" customHeight="1">
      <c r="A61" s="7" t="inlineStr">
        <is>
          <t xml:space="preserve">Seasonal bills use the month-by-month profile recorded in bills.json where there is one, so gas is heavy in winter and electric in summer.</t>
        </is>
      </c>
    </row>
    <row r="62" ht="30.00" customHeight="1">
      <c r="A62" s="7" t="inlineStr">
        <is>
          <t xml:space="preserve">Variable bills without a profile are forecast at the observed maximum when they land monthly or less often, and at the historical mean for frequent draws such as the weekly shop, which average out.</t>
        </is>
      </c>
    </row>
    <row r="63" ht="30.00" customHeight="1">
      <c r="A63" s="7" t="inlineStr">
        <is>
          <t xml:space="preserve">This workbook is a statement of obligations only: no balance, no income and no forecast.</t>
        </is>
      </c>
    </row>
  </sheetData>
  <mergeCells count="5">
    <mergeCell ref="A59:E59"/>
    <mergeCell ref="A60:E60"/>
    <mergeCell ref="A61:E61"/>
    <mergeCell ref="A62:E62"/>
    <mergeCell ref="A63:E63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OpenFIN</Application>
  <Company>OpenFIN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OpenFIN monthly bills</dc:title>
  <dc:creator>OpenFIN</dc:creator>
  <cp:lastModifiedBy>OpenFIN</cp:lastModifiedBy>
  <dcterms:created xsi:type="dcterms:W3CDTF">2026-09-21T20:19:59Z</dcterms:created>
  <dcterms:modified xsi:type="dcterms:W3CDTF">2026-09-21T20:19:59Z</dcterms:modified>
</cp:coreProperties>
</file>